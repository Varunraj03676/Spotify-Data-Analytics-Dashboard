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vb033\OneDrive\Documents\Desktop\intern\"/>
    </mc:Choice>
  </mc:AlternateContent>
  <xr:revisionPtr revIDLastSave="0" documentId="13_ncr:10000001_{7D0FBBA5-F3AB-42E7-9301-4B7E3B2C24C9}" xr6:coauthVersionLast="47" xr6:coauthVersionMax="47" xr10:uidLastSave="{00000000-0000-0000-0000-000000000000}"/>
  <bookViews>
    <workbookView xWindow="-108" yWindow="-108" windowWidth="23256" windowHeight="12456" xr2:uid="{F3CE53BC-2495-483A-B9BF-B4128261C16D}"/>
  </bookViews>
  <sheets>
    <sheet name="Sheet1" sheetId="6" r:id="rId1"/>
    <sheet name="Sheet2" sheetId="7" r:id="rId2"/>
    <sheet name="Sheet3" sheetId="4" r:id="rId3"/>
    <sheet name="Sheet4" sheetId="8" r:id="rId4"/>
    <sheet name="Sheet5" sheetId="9" r:id="rId5"/>
    <sheet name="Sheet6" sheetId="10" r:id="rId6"/>
    <sheet name="Sheet7" sheetId="14" r:id="rId7"/>
    <sheet name="KPI" sheetId="3" r:id="rId8"/>
    <sheet name="Spotify Most Streamed Songs" sheetId="1" r:id="rId9"/>
    <sheet name="Dashboard" sheetId="2" r:id="rId10"/>
  </sheets>
  <definedNames>
    <definedName name="Slicer_artist_s__name">#N/A</definedName>
    <definedName name="Slicer_in_apple_charts">#N/A</definedName>
    <definedName name="Slicer_in_shazam_charts">#N/A</definedName>
    <definedName name="Slicer_in_spotify_playlists">#N/A</definedName>
    <definedName name="Slicer_released_year">#N/A</definedName>
  </definedNames>
  <calcPr calcId="0"/>
  <pivotCaches>
    <pivotCache cacheId="3" r:id="rId11"/>
    <pivotCache cacheId="4" r:id="rId12"/>
    <pivotCache cacheId="5" r:id="rId13"/>
    <pivotCache cacheId="6" r:id="rId14"/>
    <pivotCache cacheId="7" r:id="rId15"/>
  </pivotCaches>
  <fileRecoveryPr repairLoad="1"/>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<sst xmlns="http://schemas.openxmlformats.org/spreadsheetml/2006/main" count="353" uniqueCount="143">
  <si>
    <t>track_name</t>
  </si>
  <si>
    <t>artist(s)_name</t>
  </si>
  <si>
    <t>artist_count</t>
  </si>
  <si>
    <t>released_year</t>
  </si>
  <si>
    <t>released_month</t>
  </si>
  <si>
    <t>released_day</t>
  </si>
  <si>
    <t>in_spotify_playlists</t>
  </si>
  <si>
    <t>in_spotify_charts</t>
  </si>
  <si>
    <t>streams</t>
  </si>
  <si>
    <t>in_apple_playlists</t>
  </si>
  <si>
    <t>in_apple_charts</t>
  </si>
  <si>
    <t>in_deezer_playlists</t>
  </si>
  <si>
    <t>in_deezer_charts</t>
  </si>
  <si>
    <t>in_shazam_charts</t>
  </si>
  <si>
    <t>bpm</t>
  </si>
  <si>
    <t>key</t>
  </si>
  <si>
    <t>mode</t>
  </si>
  <si>
    <t>danceability_%</t>
  </si>
  <si>
    <t>valence_%</t>
  </si>
  <si>
    <t>energy_%</t>
  </si>
  <si>
    <t>acousticness_%</t>
  </si>
  <si>
    <t>instrumentalness_%</t>
  </si>
  <si>
    <t>liveness_%</t>
  </si>
  <si>
    <t>speechiness_%</t>
  </si>
  <si>
    <t>Seven (feat. Latto) (Explicit Ver.)</t>
  </si>
  <si>
    <t>Latto, Jung Kook</t>
  </si>
  <si>
    <t>B</t>
  </si>
  <si>
    <t>Major</t>
  </si>
  <si>
    <t>LALA</t>
  </si>
  <si>
    <t>Myke Towers</t>
  </si>
  <si>
    <t>C#</t>
  </si>
  <si>
    <t>vampire</t>
  </si>
  <si>
    <t>Olivia Rodrigo</t>
  </si>
  <si>
    <t>F</t>
  </si>
  <si>
    <t>Cruel Summer</t>
  </si>
  <si>
    <t>Taylor Swift</t>
  </si>
  <si>
    <t>A</t>
  </si>
  <si>
    <t>WHERE SHE GOES</t>
  </si>
  <si>
    <t>Bad Bunny</t>
  </si>
  <si>
    <t>Minor</t>
  </si>
  <si>
    <t>Sprinter</t>
  </si>
  <si>
    <t>Dave, Central Cee</t>
  </si>
  <si>
    <t>Ella Baila Sola</t>
  </si>
  <si>
    <t>Eslabon Armado, Peso Pluma</t>
  </si>
  <si>
    <t>Columbia</t>
  </si>
  <si>
    <t>Quevedo</t>
  </si>
  <si>
    <t>fukumean</t>
  </si>
  <si>
    <t>Gunna</t>
  </si>
  <si>
    <t>La Bebe - Remix</t>
  </si>
  <si>
    <t>Peso Pluma, Yng Lvcas</t>
  </si>
  <si>
    <t>D</t>
  </si>
  <si>
    <t>un x100to</t>
  </si>
  <si>
    <t>Bad Bunny, Grupo Frontera</t>
  </si>
  <si>
    <t>F#</t>
  </si>
  <si>
    <t>Super Shy</t>
  </si>
  <si>
    <t>NewJeans</t>
  </si>
  <si>
    <t>Flowers</t>
  </si>
  <si>
    <t>Miley Cyrus</t>
  </si>
  <si>
    <t>Daylight</t>
  </si>
  <si>
    <t>David Kushner</t>
  </si>
  <si>
    <t>As It Was</t>
  </si>
  <si>
    <t>Harry Styles</t>
  </si>
  <si>
    <t>Kill Bill</t>
  </si>
  <si>
    <t>SZA</t>
  </si>
  <si>
    <t>G#</t>
  </si>
  <si>
    <t>Cupid - Twin Ver.</t>
  </si>
  <si>
    <t>Fifty Fifty</t>
  </si>
  <si>
    <t>Billie Eilish</t>
  </si>
  <si>
    <t>Classy 101</t>
  </si>
  <si>
    <t>Feid, Young Miko</t>
  </si>
  <si>
    <t>Like Crazy</t>
  </si>
  <si>
    <t>Jimin</t>
  </si>
  <si>
    <t>G</t>
  </si>
  <si>
    <t>LADY GAGA</t>
  </si>
  <si>
    <t>Gabito Ballesteros, Junior H, Peso Pluma</t>
  </si>
  <si>
    <t>I Wanna Be Yours</t>
  </si>
  <si>
    <t>Arctic Monkeys</t>
  </si>
  <si>
    <t>Peso Pluma: Bzrp Music Sessions, Vol. 55</t>
  </si>
  <si>
    <t>Bizarrap, Peso Pluma</t>
  </si>
  <si>
    <t>The Weeknd, Madonna, Playboi Carti</t>
  </si>
  <si>
    <t>SABOR FRESA</t>
  </si>
  <si>
    <t>Fuerza Regida</t>
  </si>
  <si>
    <t>Calm Down (with Selena Gomez)</t>
  </si>
  <si>
    <t>RÃ¯Â¿Â½Ã¯Â¿Â½ma, Selena G</t>
  </si>
  <si>
    <t>MOJABI GHOST</t>
  </si>
  <si>
    <t>Tainy, Bad Bunny</t>
  </si>
  <si>
    <t>Last Night</t>
  </si>
  <si>
    <t>Morgan Wallen</t>
  </si>
  <si>
    <t>Dance The Night (From Barbie The Album)</t>
  </si>
  <si>
    <t>Dua Lipa</t>
  </si>
  <si>
    <t>Rush</t>
  </si>
  <si>
    <t>Troye Sivan</t>
  </si>
  <si>
    <t>TULUM</t>
  </si>
  <si>
    <t>Peso Pluma, Grupo Frontera</t>
  </si>
  <si>
    <t>Creepin'</t>
  </si>
  <si>
    <t>The Weeknd, 21 Savage, Metro Boomin</t>
  </si>
  <si>
    <t>Anti-Hero</t>
  </si>
  <si>
    <t>E</t>
  </si>
  <si>
    <t>TQG</t>
  </si>
  <si>
    <t>Karol G, Shakira</t>
  </si>
  <si>
    <t>Los del Espacio</t>
  </si>
  <si>
    <t>Big One, Duki, Lit Killah, Maria Becerra, FMK, Rusherking, Emilia, Tiago pzk</t>
  </si>
  <si>
    <t>FrÃ¯Â¿Â½Ã¯Â¿Â½gil (feat. Grupo Front</t>
  </si>
  <si>
    <t>Yahritza Y Su Esencia, Grupo Frontera</t>
  </si>
  <si>
    <t>Blank Space</t>
  </si>
  <si>
    <t>Style</t>
  </si>
  <si>
    <t>TQM</t>
  </si>
  <si>
    <t>El Azul</t>
  </si>
  <si>
    <t>Junior H, Peso Pluma</t>
  </si>
  <si>
    <t>Sunflower - Spider-Man: Into the Spider-Verse</t>
  </si>
  <si>
    <t>Post Malone, Swae Lee</t>
  </si>
  <si>
    <t>I'm Good (Blue)</t>
  </si>
  <si>
    <t>Bebe Rexha, David Guetta</t>
  </si>
  <si>
    <t>See You Again</t>
  </si>
  <si>
    <t>Tyler, The Creator, Kali Uchis</t>
  </si>
  <si>
    <t>Nicki Minaj, Aqua, Ice Spice</t>
  </si>
  <si>
    <t>Angels Like You</t>
  </si>
  <si>
    <t>I Ain't Worried</t>
  </si>
  <si>
    <t>OneRepublic</t>
  </si>
  <si>
    <t>Die For You</t>
  </si>
  <si>
    <t>The Weeknd</t>
  </si>
  <si>
    <t>Starboy</t>
  </si>
  <si>
    <t>The Weeknd, Daft Punk</t>
  </si>
  <si>
    <t>aaa</t>
  </si>
  <si>
    <t xml:space="preserve">Popular (with Playboi Carti &amp; Madonna) </t>
  </si>
  <si>
    <t xml:space="preserve">I Can See You </t>
  </si>
  <si>
    <t xml:space="preserve">What Was I Made For? </t>
  </si>
  <si>
    <t xml:space="preserve">Barbie World (with Aqua) </t>
  </si>
  <si>
    <t xml:space="preserve"> </t>
  </si>
  <si>
    <t>Row Labels</t>
  </si>
  <si>
    <t>Grand Total</t>
  </si>
  <si>
    <t>Sum of released_year</t>
  </si>
  <si>
    <t>Sum of streams</t>
  </si>
  <si>
    <t>Sum of artist_count</t>
  </si>
  <si>
    <t>Sum of in_spotify_playlists</t>
  </si>
  <si>
    <t>Sum of in_apple_playlists</t>
  </si>
  <si>
    <t>Sum of in_deezer_playlists</t>
  </si>
  <si>
    <t>(blank)</t>
  </si>
  <si>
    <t>Sum of in_apple_charts</t>
  </si>
  <si>
    <t>Sum of in_deezer_charts</t>
  </si>
  <si>
    <t>Sum of in_shazam_charts</t>
  </si>
  <si>
    <t>Sum of released_month</t>
  </si>
  <si>
    <t>Sum of in_spotify_charts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</si>
</sst>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9"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3"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34" borderId="0" xfId="0" applyFill="1"/>
    <xf numFmtId="0" fontId="0" fillId="33" borderId="10" xfId="0"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434BD"/>
      <color rgb="FFC832C8"/>
      <color rgb="FFCC99FF"/>
      <color rgb="FFDC72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(Recovered).xlsx]Sheet1!PivotTable2</c:name>
    <c:fmtId val="0"/>
  </c:pivotSource>
  <c:chart>
    <c:autoTitleDeleted val="0"/>
    <c:pivotFmts>
      <c:pivotFmt>
        <c:idx val="0"/>
        <c:spPr>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233814523184596E-2"/>
          <c:y val="7.407407407407407E-2"/>
          <c:w val="0.51398840769903764"/>
          <c:h val="0.8416746864975212"/>
        </c:manualLayout>
      </c:layout>
      <c:lineChart>
        <c:grouping val="percentStacked"/>
        <c:varyColors val="0"/>
        <c:ser>
          <c:idx val="0"/>
          <c:order val="0"/>
          <c:tx>
            <c:strRef>
              <c:f>Sheet1!$B$3</c:f>
              <c:strCache>
                <c:ptCount val="1"/>
                <c:pt idx="0">
                  <c:v>Sum of in_deezer_playlists</c:v>
                </c:pt>
              </c:strCache>
            </c:strRef>
          </c:tx>
          <c:spPr>
            <a:ln w="28575" cap="rnd">
              <a:solidFill>
                <a:schemeClr val="accent6">
                  <a:tint val="65000"/>
                </a:schemeClr>
              </a:solidFill>
              <a:round/>
            </a:ln>
            <a:effectLst/>
          </c:spPr>
          <c:marker>
            <c:symbol val="circle"/>
            <c:size val="5"/>
            <c:spPr>
              <a:solidFill>
                <a:schemeClr val="accent6">
                  <a:tint val="65000"/>
                </a:schemeClr>
              </a:solidFill>
              <a:ln w="9525">
                <a:solidFill>
                  <a:schemeClr val="accent6">
                    <a:tint val="65000"/>
                  </a:schemeClr>
                </a:solidFill>
              </a:ln>
              <a:effectLst/>
            </c:spPr>
          </c:marker>
          <c:cat>
            <c:strRef>
              <c:f>Sheet1!$A$4:$A$8</c:f>
              <c:strCache>
                <c:ptCount val="4"/>
                <c:pt idx="0">
                  <c:v>0</c:v>
                </c:pt>
                <c:pt idx="1">
                  <c:v>2</c:v>
                </c:pt>
                <c:pt idx="2">
                  <c:v>17</c:v>
                </c:pt>
                <c:pt idx="3">
                  <c:v>63</c:v>
                </c:pt>
              </c:strCache>
            </c:strRef>
          </c:cat>
          <c:val>
            <c:numRef>
              <c:f>Sheet1!$B$4:$B$8</c:f>
              <c:numCache>
                <c:formatCode>General</c:formatCode>
                <c:ptCount val="4"/>
                <c:pt idx="0">
                  <c:v>9461</c:v>
                </c:pt>
                <c:pt idx="1">
                  <c:v>582</c:v>
                </c:pt>
                <c:pt idx="2">
                  <c:v>161</c:v>
                </c:pt>
                <c:pt idx="3">
                  <c:v>87</c:v>
                </c:pt>
              </c:numCache>
            </c:numRef>
          </c:val>
          <c:smooth val="0"/>
          <c:extLst>
            <c:ext xmlns:c16="http://schemas.microsoft.com/office/drawing/2014/chart" uri="{C3380CC4-5D6E-409C-BE32-E72D297353CC}">
              <c16:uniqueId val="{00000000-BB22-45BB-8179-003EB4B09CD3}"/>
            </c:ext>
          </c:extLst>
        </c:ser>
        <c:ser>
          <c:idx val="1"/>
          <c:order val="1"/>
          <c:tx>
            <c:strRef>
              <c:f>Sheet1!$C$3</c:f>
              <c:strCache>
                <c:ptCount val="1"/>
                <c:pt idx="0">
                  <c:v>Sum of in_deezer_charts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Sheet1!$A$4:$A$8</c:f>
              <c:strCache>
                <c:ptCount val="4"/>
                <c:pt idx="0">
                  <c:v>0</c:v>
                </c:pt>
                <c:pt idx="1">
                  <c:v>2</c:v>
                </c:pt>
                <c:pt idx="2">
                  <c:v>17</c:v>
                </c:pt>
                <c:pt idx="3">
                  <c:v>63</c:v>
                </c:pt>
              </c:strCache>
            </c:strRef>
          </c:cat>
          <c:val>
            <c:numRef>
              <c:f>Sheet1!$C$4:$C$8</c:f>
              <c:numCache>
                <c:formatCode>General</c:formatCode>
                <c:ptCount val="4"/>
                <c:pt idx="0">
                  <c:v>629</c:v>
                </c:pt>
                <c:pt idx="1">
                  <c:v>2</c:v>
                </c:pt>
                <c:pt idx="2">
                  <c:v>12</c:v>
                </c:pt>
                <c:pt idx="3">
                  <c:v>15</c:v>
                </c:pt>
              </c:numCache>
            </c:numRef>
          </c:val>
          <c:smooth val="0"/>
          <c:extLst>
            <c:ext xmlns:c16="http://schemas.microsoft.com/office/drawing/2014/chart" uri="{C3380CC4-5D6E-409C-BE32-E72D297353CC}">
              <c16:uniqueId val="{00000001-BB22-45BB-8179-003EB4B09CD3}"/>
            </c:ext>
          </c:extLst>
        </c:ser>
        <c:ser>
          <c:idx val="2"/>
          <c:order val="2"/>
          <c:tx>
            <c:strRef>
              <c:f>Sheet1!$D$3</c:f>
              <c:strCache>
                <c:ptCount val="1"/>
                <c:pt idx="0">
                  <c:v>Sum of in_shazam_charts</c:v>
                </c:pt>
              </c:strCache>
            </c:strRef>
          </c:tx>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cat>
            <c:strRef>
              <c:f>Sheet1!$A$4:$A$8</c:f>
              <c:strCache>
                <c:ptCount val="4"/>
                <c:pt idx="0">
                  <c:v>0</c:v>
                </c:pt>
                <c:pt idx="1">
                  <c:v>2</c:v>
                </c:pt>
                <c:pt idx="2">
                  <c:v>17</c:v>
                </c:pt>
                <c:pt idx="3">
                  <c:v>63</c:v>
                </c:pt>
              </c:strCache>
            </c:strRef>
          </c:cat>
          <c:val>
            <c:numRef>
              <c:f>Sheet1!$D$4:$D$8</c:f>
              <c:numCache>
                <c:formatCode>General</c:formatCode>
                <c:ptCount val="4"/>
                <c:pt idx="0">
                  <c:v>16823</c:v>
                </c:pt>
                <c:pt idx="1">
                  <c:v>73</c:v>
                </c:pt>
                <c:pt idx="2">
                  <c:v>187</c:v>
                </c:pt>
                <c:pt idx="3">
                  <c:v>425</c:v>
                </c:pt>
              </c:numCache>
            </c:numRef>
          </c:val>
          <c:smooth val="0"/>
          <c:extLst>
            <c:ext xmlns:c16="http://schemas.microsoft.com/office/drawing/2014/chart" uri="{C3380CC4-5D6E-409C-BE32-E72D297353CC}">
              <c16:uniqueId val="{00000002-BB22-45BB-8179-003EB4B09CD3}"/>
            </c:ext>
          </c:extLst>
        </c:ser>
        <c:dLbls>
          <c:showLegendKey val="0"/>
          <c:showVal val="0"/>
          <c:showCatName val="0"/>
          <c:showSerName val="0"/>
          <c:showPercent val="0"/>
          <c:showBubbleSize val="0"/>
        </c:dLbls>
        <c:marker val="1"/>
        <c:smooth val="0"/>
        <c:axId val="110501407"/>
        <c:axId val="110518207"/>
      </c:lineChart>
      <c:catAx>
        <c:axId val="11050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8207"/>
        <c:crosses val="autoZero"/>
        <c:auto val="1"/>
        <c:lblAlgn val="ctr"/>
        <c:lblOffset val="100"/>
        <c:noMultiLvlLbl val="0"/>
      </c:catAx>
      <c:valAx>
        <c:axId val="110518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(Recovered).xlsx]Sheet2!PivotTable4</c:name>
    <c:fmtId val="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s>
    <c:plotArea>
      <c:layout/>
      <c:ofPieChart>
        <c:ofPieType val="pie"/>
        <c:varyColors val="1"/>
        <c:ser>
          <c:idx val="0"/>
          <c:order val="0"/>
          <c:tx>
            <c:strRef>
              <c:f>Sheet2!$B$3</c:f>
              <c:strCache>
                <c:ptCount val="1"/>
                <c:pt idx="0">
                  <c:v>Sum of in_apple_charts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C9DD-4DE7-A54E-FAC5867C5871}"/>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C9DD-4DE7-A54E-FAC5867C5871}"/>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C9DD-4DE7-A54E-FAC5867C5871}"/>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C9DD-4DE7-A54E-FAC5867C5871}"/>
              </c:ext>
            </c:extLst>
          </c:dPt>
          <c:dPt>
            <c:idx val="4"/>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9-C9DD-4DE7-A54E-FAC5867C5871}"/>
              </c:ext>
            </c:extLst>
          </c:dPt>
          <c:cat>
            <c:strRef>
              <c:f>Sheet2!$A$4:$A$8</c:f>
              <c:strCache>
                <c:ptCount val="4"/>
                <c:pt idx="0">
                  <c:v>1</c:v>
                </c:pt>
                <c:pt idx="1">
                  <c:v>2</c:v>
                </c:pt>
                <c:pt idx="2">
                  <c:v>3</c:v>
                </c:pt>
                <c:pt idx="3">
                  <c:v>8</c:v>
                </c:pt>
              </c:strCache>
            </c:strRef>
          </c:cat>
          <c:val>
            <c:numRef>
              <c:f>Sheet2!$B$4:$B$8</c:f>
              <c:numCache>
                <c:formatCode>General</c:formatCode>
                <c:ptCount val="4"/>
                <c:pt idx="0">
                  <c:v>3787</c:v>
                </c:pt>
                <c:pt idx="1">
                  <c:v>2454</c:v>
                </c:pt>
                <c:pt idx="2">
                  <c:v>697</c:v>
                </c:pt>
                <c:pt idx="3">
                  <c:v>33</c:v>
                </c:pt>
              </c:numCache>
            </c:numRef>
          </c:val>
          <c:extLst>
            <c:ext xmlns:c16="http://schemas.microsoft.com/office/drawing/2014/chart" uri="{C3380CC4-5D6E-409C-BE32-E72D297353CC}">
              <c16:uniqueId val="{00000000-B240-4819-A06B-F0EBBD0EDBAB}"/>
            </c:ext>
          </c:extLst>
        </c:ser>
        <c:ser>
          <c:idx val="1"/>
          <c:order val="1"/>
          <c:tx>
            <c:strRef>
              <c:f>Sheet2!$C$3</c:f>
              <c:strCache>
                <c:ptCount val="1"/>
                <c:pt idx="0">
                  <c:v>Sum of in_deezer_playlists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B-C9DD-4DE7-A54E-FAC5867C5871}"/>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D-C9DD-4DE7-A54E-FAC5867C5871}"/>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F-C9DD-4DE7-A54E-FAC5867C5871}"/>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1-C9DD-4DE7-A54E-FAC5867C5871}"/>
              </c:ext>
            </c:extLst>
          </c:dPt>
          <c:dPt>
            <c:idx val="4"/>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3-C9DD-4DE7-A54E-FAC5867C5871}"/>
              </c:ext>
            </c:extLst>
          </c:dPt>
          <c:cat>
            <c:strRef>
              <c:f>Sheet2!$A$4:$A$8</c:f>
              <c:strCache>
                <c:ptCount val="4"/>
                <c:pt idx="0">
                  <c:v>1</c:v>
                </c:pt>
                <c:pt idx="1">
                  <c:v>2</c:v>
                </c:pt>
                <c:pt idx="2">
                  <c:v>3</c:v>
                </c:pt>
                <c:pt idx="3">
                  <c:v>8</c:v>
                </c:pt>
              </c:strCache>
            </c:strRef>
          </c:cat>
          <c:val>
            <c:numRef>
              <c:f>Sheet2!$C$4:$C$8</c:f>
              <c:numCache>
                <c:formatCode>General</c:formatCode>
                <c:ptCount val="4"/>
                <c:pt idx="0">
                  <c:v>4810</c:v>
                </c:pt>
                <c:pt idx="1">
                  <c:v>4793</c:v>
                </c:pt>
                <c:pt idx="2">
                  <c:v>654</c:v>
                </c:pt>
                <c:pt idx="3">
                  <c:v>34</c:v>
                </c:pt>
              </c:numCache>
            </c:numRef>
          </c:val>
          <c:extLst>
            <c:ext xmlns:c16="http://schemas.microsoft.com/office/drawing/2014/chart" uri="{C3380CC4-5D6E-409C-BE32-E72D297353CC}">
              <c16:uniqueId val="{00000001-B240-4819-A06B-F0EBBD0EDBAB}"/>
            </c:ext>
          </c:extLst>
        </c:ser>
        <c:ser>
          <c:idx val="2"/>
          <c:order val="2"/>
          <c:tx>
            <c:strRef>
              <c:f>Sheet2!$D$3</c:f>
              <c:strCache>
                <c:ptCount val="1"/>
                <c:pt idx="0">
                  <c:v>Sum of in_deezer_charts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15-C9DD-4DE7-A54E-FAC5867C5871}"/>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17-C9DD-4DE7-A54E-FAC5867C5871}"/>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19-C9DD-4DE7-A54E-FAC5867C5871}"/>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B-C9DD-4DE7-A54E-FAC5867C5871}"/>
              </c:ext>
            </c:extLst>
          </c:dPt>
          <c:dPt>
            <c:idx val="4"/>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D-C9DD-4DE7-A54E-FAC5867C5871}"/>
              </c:ext>
            </c:extLst>
          </c:dPt>
          <c:cat>
            <c:strRef>
              <c:f>Sheet2!$A$4:$A$8</c:f>
              <c:strCache>
                <c:ptCount val="4"/>
                <c:pt idx="0">
                  <c:v>1</c:v>
                </c:pt>
                <c:pt idx="1">
                  <c:v>2</c:v>
                </c:pt>
                <c:pt idx="2">
                  <c:v>3</c:v>
                </c:pt>
                <c:pt idx="3">
                  <c:v>8</c:v>
                </c:pt>
              </c:strCache>
            </c:strRef>
          </c:cat>
          <c:val>
            <c:numRef>
              <c:f>Sheet2!$D$4:$D$8</c:f>
              <c:numCache>
                <c:formatCode>General</c:formatCode>
                <c:ptCount val="4"/>
                <c:pt idx="0">
                  <c:v>363</c:v>
                </c:pt>
                <c:pt idx="1">
                  <c:v>230</c:v>
                </c:pt>
                <c:pt idx="2">
                  <c:v>58</c:v>
                </c:pt>
                <c:pt idx="3">
                  <c:v>7</c:v>
                </c:pt>
              </c:numCache>
            </c:numRef>
          </c:val>
          <c:extLst>
            <c:ext xmlns:c16="http://schemas.microsoft.com/office/drawing/2014/chart" uri="{C3380CC4-5D6E-409C-BE32-E72D297353CC}">
              <c16:uniqueId val="{00000002-B240-4819-A06B-F0EBBD0EDBAB}"/>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(Recovered).xlsx]Sheet3!PivotTable2</c:name>
    <c:fmtId val="43"/>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Total</c:v>
                </c:pt>
              </c:strCache>
            </c:strRef>
          </c:tx>
          <c:spPr>
            <a:solidFill>
              <a:schemeClr val="accent6"/>
            </a:solidFill>
            <a:ln>
              <a:noFill/>
            </a:ln>
            <a:effectLst/>
            <a:sp3d/>
          </c:spPr>
          <c:invertIfNegative val="0"/>
          <c:cat>
            <c:strRef>
              <c:f>Sheet3!$A$4:$A$54</c:f>
              <c:strCache>
                <c:ptCount val="50"/>
                <c:pt idx="0">
                  <c:v>Angels Like You</c:v>
                </c:pt>
                <c:pt idx="1">
                  <c:v>Anti-Hero</c:v>
                </c:pt>
                <c:pt idx="2">
                  <c:v>As It Was</c:v>
                </c:pt>
                <c:pt idx="3">
                  <c:v>Barbie World (with Aqua) </c:v>
                </c:pt>
                <c:pt idx="4">
                  <c:v>Blank Space</c:v>
                </c:pt>
                <c:pt idx="5">
                  <c:v>Calm Down (with Selena Gomez)</c:v>
                </c:pt>
                <c:pt idx="6">
                  <c:v>Classy 101</c:v>
                </c:pt>
                <c:pt idx="7">
                  <c:v>Columbia</c:v>
                </c:pt>
                <c:pt idx="8">
                  <c:v>Creepin'</c:v>
                </c:pt>
                <c:pt idx="9">
                  <c:v>Cruel Summer</c:v>
                </c:pt>
                <c:pt idx="10">
                  <c:v>Cupid - Twin Ver.</c:v>
                </c:pt>
                <c:pt idx="11">
                  <c:v>Dance The Night (From Barbie The Album)</c:v>
                </c:pt>
                <c:pt idx="12">
                  <c:v>Daylight</c:v>
                </c:pt>
                <c:pt idx="13">
                  <c:v>Die For You</c:v>
                </c:pt>
                <c:pt idx="14">
                  <c:v>El Azul</c:v>
                </c:pt>
                <c:pt idx="15">
                  <c:v>Ella Baila Sola</c:v>
                </c:pt>
                <c:pt idx="16">
                  <c:v>Flowers</c:v>
                </c:pt>
                <c:pt idx="17">
                  <c:v>FrÃ¯Â¿Â½Ã¯Â¿Â½gil (feat. Grupo Front</c:v>
                </c:pt>
                <c:pt idx="18">
                  <c:v>fukumean</c:v>
                </c:pt>
                <c:pt idx="19">
                  <c:v>I Ain't Worried</c:v>
                </c:pt>
                <c:pt idx="20">
                  <c:v>I Can See You </c:v>
                </c:pt>
                <c:pt idx="21">
                  <c:v>I Wanna Be Yours</c:v>
                </c:pt>
                <c:pt idx="22">
                  <c:v>I'm Good (Blue)</c:v>
                </c:pt>
                <c:pt idx="23">
                  <c:v>Kill Bill</c:v>
                </c:pt>
                <c:pt idx="24">
                  <c:v>La Bebe - Remix</c:v>
                </c:pt>
                <c:pt idx="25">
                  <c:v>LADY GAGA</c:v>
                </c:pt>
                <c:pt idx="26">
                  <c:v>LALA</c:v>
                </c:pt>
                <c:pt idx="27">
                  <c:v>Last Night</c:v>
                </c:pt>
                <c:pt idx="28">
                  <c:v>Like Crazy</c:v>
                </c:pt>
                <c:pt idx="29">
                  <c:v>Los del Espacio</c:v>
                </c:pt>
                <c:pt idx="30">
                  <c:v>MOJABI GHOST</c:v>
                </c:pt>
                <c:pt idx="31">
                  <c:v>Peso Pluma: Bzrp Music Sessions, Vol. 55</c:v>
                </c:pt>
                <c:pt idx="32">
                  <c:v>Popular (with Playboi Carti &amp; Madonna) </c:v>
                </c:pt>
                <c:pt idx="33">
                  <c:v>Rush</c:v>
                </c:pt>
                <c:pt idx="34">
                  <c:v>SABOR FRESA</c:v>
                </c:pt>
                <c:pt idx="35">
                  <c:v>See You Again</c:v>
                </c:pt>
                <c:pt idx="36">
                  <c:v>Seven (feat. Latto) (Explicit Ver.)</c:v>
                </c:pt>
                <c:pt idx="37">
                  <c:v>Sprinter</c:v>
                </c:pt>
                <c:pt idx="38">
                  <c:v>Starboy</c:v>
                </c:pt>
                <c:pt idx="39">
                  <c:v>Style</c:v>
                </c:pt>
                <c:pt idx="40">
                  <c:v>Sunflower - Spider-Man: Into the Spider-Verse</c:v>
                </c:pt>
                <c:pt idx="41">
                  <c:v>Super Shy</c:v>
                </c:pt>
                <c:pt idx="42">
                  <c:v>TQG</c:v>
                </c:pt>
                <c:pt idx="43">
                  <c:v>TQM</c:v>
                </c:pt>
                <c:pt idx="44">
                  <c:v>TULUM</c:v>
                </c:pt>
                <c:pt idx="45">
                  <c:v>un x100to</c:v>
                </c:pt>
                <c:pt idx="46">
                  <c:v>vampire</c:v>
                </c:pt>
                <c:pt idx="47">
                  <c:v>What Was I Made For? </c:v>
                </c:pt>
                <c:pt idx="48">
                  <c:v>WHERE SHE GOES</c:v>
                </c:pt>
                <c:pt idx="49">
                  <c:v>(blank)</c:v>
                </c:pt>
              </c:strCache>
            </c:strRef>
          </c:cat>
          <c:val>
            <c:numRef>
              <c:f>Sheet3!$B$4:$B$54</c:f>
              <c:numCache>
                <c:formatCode>General</c:formatCode>
                <c:ptCount val="50"/>
                <c:pt idx="0">
                  <c:v>2020</c:v>
                </c:pt>
                <c:pt idx="1">
                  <c:v>2022</c:v>
                </c:pt>
                <c:pt idx="2">
                  <c:v>2022</c:v>
                </c:pt>
                <c:pt idx="3">
                  <c:v>2023</c:v>
                </c:pt>
                <c:pt idx="4">
                  <c:v>2014</c:v>
                </c:pt>
                <c:pt idx="5">
                  <c:v>2022</c:v>
                </c:pt>
                <c:pt idx="6">
                  <c:v>2023</c:v>
                </c:pt>
                <c:pt idx="7">
                  <c:v>2023</c:v>
                </c:pt>
                <c:pt idx="8">
                  <c:v>2022</c:v>
                </c:pt>
                <c:pt idx="9">
                  <c:v>2019</c:v>
                </c:pt>
                <c:pt idx="10">
                  <c:v>2023</c:v>
                </c:pt>
                <c:pt idx="11">
                  <c:v>2023</c:v>
                </c:pt>
                <c:pt idx="12">
                  <c:v>2023</c:v>
                </c:pt>
                <c:pt idx="13">
                  <c:v>2016</c:v>
                </c:pt>
                <c:pt idx="14">
                  <c:v>2023</c:v>
                </c:pt>
                <c:pt idx="15">
                  <c:v>2023</c:v>
                </c:pt>
                <c:pt idx="16">
                  <c:v>2023</c:v>
                </c:pt>
                <c:pt idx="17">
                  <c:v>2023</c:v>
                </c:pt>
                <c:pt idx="18">
                  <c:v>2023</c:v>
                </c:pt>
                <c:pt idx="19">
                  <c:v>2022</c:v>
                </c:pt>
                <c:pt idx="20">
                  <c:v>2023</c:v>
                </c:pt>
                <c:pt idx="21">
                  <c:v>2013</c:v>
                </c:pt>
                <c:pt idx="22">
                  <c:v>2022</c:v>
                </c:pt>
                <c:pt idx="23">
                  <c:v>2022</c:v>
                </c:pt>
                <c:pt idx="24">
                  <c:v>2023</c:v>
                </c:pt>
                <c:pt idx="25">
                  <c:v>2023</c:v>
                </c:pt>
                <c:pt idx="26">
                  <c:v>2023</c:v>
                </c:pt>
                <c:pt idx="27">
                  <c:v>2023</c:v>
                </c:pt>
                <c:pt idx="28">
                  <c:v>2023</c:v>
                </c:pt>
                <c:pt idx="29">
                  <c:v>2023</c:v>
                </c:pt>
                <c:pt idx="30">
                  <c:v>2023</c:v>
                </c:pt>
                <c:pt idx="31">
                  <c:v>2023</c:v>
                </c:pt>
                <c:pt idx="32">
                  <c:v>2023</c:v>
                </c:pt>
                <c:pt idx="33">
                  <c:v>2023</c:v>
                </c:pt>
                <c:pt idx="34">
                  <c:v>2023</c:v>
                </c:pt>
                <c:pt idx="35">
                  <c:v>2017</c:v>
                </c:pt>
                <c:pt idx="36">
                  <c:v>2023</c:v>
                </c:pt>
                <c:pt idx="37">
                  <c:v>2023</c:v>
                </c:pt>
                <c:pt idx="38">
                  <c:v>2016</c:v>
                </c:pt>
                <c:pt idx="39">
                  <c:v>2014</c:v>
                </c:pt>
                <c:pt idx="40">
                  <c:v>2018</c:v>
                </c:pt>
                <c:pt idx="41">
                  <c:v>2023</c:v>
                </c:pt>
                <c:pt idx="42">
                  <c:v>2023</c:v>
                </c:pt>
                <c:pt idx="43">
                  <c:v>2023</c:v>
                </c:pt>
                <c:pt idx="44">
                  <c:v>2023</c:v>
                </c:pt>
                <c:pt idx="45">
                  <c:v>2023</c:v>
                </c:pt>
                <c:pt idx="46">
                  <c:v>2023</c:v>
                </c:pt>
                <c:pt idx="47">
                  <c:v>2023</c:v>
                </c:pt>
                <c:pt idx="48">
                  <c:v>2023</c:v>
                </c:pt>
              </c:numCache>
            </c:numRef>
          </c:val>
          <c:extLst>
            <c:ext xmlns:c16="http://schemas.microsoft.com/office/drawing/2014/chart" uri="{C3380CC4-5D6E-409C-BE32-E72D297353CC}">
              <c16:uniqueId val="{00000000-9475-465A-A358-1899B3A29315}"/>
            </c:ext>
          </c:extLst>
        </c:ser>
        <c:dLbls>
          <c:showLegendKey val="0"/>
          <c:showVal val="0"/>
          <c:showCatName val="0"/>
          <c:showSerName val="0"/>
          <c:showPercent val="0"/>
          <c:showBubbleSize val="0"/>
        </c:dLbls>
        <c:gapWidth val="150"/>
        <c:shape val="box"/>
        <c:axId val="2089626527"/>
        <c:axId val="2089614047"/>
        <c:axId val="0"/>
      </c:bar3DChart>
      <c:catAx>
        <c:axId val="208962652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14047"/>
        <c:crosses val="autoZero"/>
        <c:auto val="1"/>
        <c:lblAlgn val="ctr"/>
        <c:lblOffset val="100"/>
        <c:noMultiLvlLbl val="0"/>
      </c:catAx>
      <c:valAx>
        <c:axId val="20896140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(Recovered).xlsx]Sheet4!PivotTable1</c:name>
    <c:fmtId val="1"/>
  </c:pivotSource>
  <c:chart>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doughnutChart>
        <c:varyColors val="1"/>
        <c:ser>
          <c:idx val="0"/>
          <c:order val="0"/>
          <c:tx>
            <c:strRef>
              <c:f>Sheet4!$B$3</c:f>
              <c:strCache>
                <c:ptCount val="1"/>
                <c:pt idx="0">
                  <c:v>Sum of released_month</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D0F-4B84-B135-DEE4D6801E37}"/>
              </c:ext>
            </c:extLst>
          </c:dPt>
          <c:cat>
            <c:strRef>
              <c:f>Sheet4!$A$4:$A$5</c:f>
              <c:strCache>
                <c:ptCount val="1"/>
                <c:pt idx="0">
                  <c:v>As It Was</c:v>
                </c:pt>
              </c:strCache>
            </c:strRef>
          </c:cat>
          <c:val>
            <c:numRef>
              <c:f>Sheet4!$B$4:$B$5</c:f>
              <c:numCache>
                <c:formatCode>General</c:formatCode>
                <c:ptCount val="1"/>
                <c:pt idx="0">
                  <c:v>3</c:v>
                </c:pt>
              </c:numCache>
            </c:numRef>
          </c:val>
          <c:extLst>
            <c:ext xmlns:c16="http://schemas.microsoft.com/office/drawing/2014/chart" uri="{C3380CC4-5D6E-409C-BE32-E72D297353CC}">
              <c16:uniqueId val="{00000000-37CF-48BC-BB0A-7A3287F291F3}"/>
            </c:ext>
          </c:extLst>
        </c:ser>
        <c:ser>
          <c:idx val="1"/>
          <c:order val="1"/>
          <c:tx>
            <c:strRef>
              <c:f>Sheet4!$C$3</c:f>
              <c:strCache>
                <c:ptCount val="1"/>
                <c:pt idx="0">
                  <c:v>Sum of streams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3-4D0F-4B84-B135-DEE4D6801E37}"/>
              </c:ext>
            </c:extLst>
          </c:dPt>
          <c:cat>
            <c:strRef>
              <c:f>Sheet4!$A$4:$A$5</c:f>
              <c:strCache>
                <c:ptCount val="1"/>
                <c:pt idx="0">
                  <c:v>As It Was</c:v>
                </c:pt>
              </c:strCache>
            </c:strRef>
          </c:cat>
          <c:val>
            <c:numRef>
              <c:f>Sheet4!$C$4:$C$5</c:f>
              <c:numCache>
                <c:formatCode>General</c:formatCode>
                <c:ptCount val="1"/>
                <c:pt idx="0">
                  <c:v>2513188493</c:v>
                </c:pt>
              </c:numCache>
            </c:numRef>
          </c:val>
          <c:extLst>
            <c:ext xmlns:c16="http://schemas.microsoft.com/office/drawing/2014/chart" uri="{C3380CC4-5D6E-409C-BE32-E72D297353CC}">
              <c16:uniqueId val="{00000001-37CF-48BC-BB0A-7A3287F291F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(Recovered).xlsx]Sheet5!PivotTable2</c:name>
    <c:fmtId val="1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Sheet5!$A$3</c:f>
              <c:strCache>
                <c:ptCount val="1"/>
                <c:pt idx="0">
                  <c:v>Sum of in_spotify_playlists</c:v>
                </c:pt>
              </c:strCache>
            </c:strRef>
          </c:tx>
          <c:spPr>
            <a:solidFill>
              <a:schemeClr val="accent6">
                <a:tint val="48000"/>
              </a:schemeClr>
            </a:solidFill>
            <a:ln>
              <a:noFill/>
            </a:ln>
            <a:effectLst/>
          </c:spPr>
          <c:invertIfNegative val="0"/>
          <c:cat>
            <c:strRef>
              <c:f>Sheet5!$A$4</c:f>
              <c:strCache>
                <c:ptCount val="1"/>
                <c:pt idx="0">
                  <c:v>Total</c:v>
                </c:pt>
              </c:strCache>
            </c:strRef>
          </c:cat>
          <c:val>
            <c:numRef>
              <c:f>Sheet5!$A$4</c:f>
              <c:numCache>
                <c:formatCode>General</c:formatCode>
                <c:ptCount val="1"/>
                <c:pt idx="0">
                  <c:v>250586</c:v>
                </c:pt>
              </c:numCache>
            </c:numRef>
          </c:val>
          <c:extLst>
            <c:ext xmlns:c16="http://schemas.microsoft.com/office/drawing/2014/chart" uri="{C3380CC4-5D6E-409C-BE32-E72D297353CC}">
              <c16:uniqueId val="{00000000-1CBA-40D3-A590-8BDA9DF881CE}"/>
            </c:ext>
          </c:extLst>
        </c:ser>
        <c:ser>
          <c:idx val="1"/>
          <c:order val="1"/>
          <c:tx>
            <c:strRef>
              <c:f>Sheet5!$B$3</c:f>
              <c:strCache>
                <c:ptCount val="1"/>
                <c:pt idx="0">
                  <c:v>Sum of in_apple_playlists</c:v>
                </c:pt>
              </c:strCache>
            </c:strRef>
          </c:tx>
          <c:spPr>
            <a:solidFill>
              <a:schemeClr val="accent6">
                <a:tint val="65000"/>
              </a:schemeClr>
            </a:solidFill>
            <a:ln>
              <a:noFill/>
            </a:ln>
            <a:effectLst/>
          </c:spPr>
          <c:invertIfNegative val="0"/>
          <c:cat>
            <c:strRef>
              <c:f>Sheet5!$A$4</c:f>
              <c:strCache>
                <c:ptCount val="1"/>
                <c:pt idx="0">
                  <c:v>Total</c:v>
                </c:pt>
              </c:strCache>
            </c:strRef>
          </c:cat>
          <c:val>
            <c:numRef>
              <c:f>Sheet5!$B$4</c:f>
              <c:numCache>
                <c:formatCode>General</c:formatCode>
                <c:ptCount val="1"/>
                <c:pt idx="0">
                  <c:v>4743</c:v>
                </c:pt>
              </c:numCache>
            </c:numRef>
          </c:val>
          <c:extLst>
            <c:ext xmlns:c16="http://schemas.microsoft.com/office/drawing/2014/chart" uri="{C3380CC4-5D6E-409C-BE32-E72D297353CC}">
              <c16:uniqueId val="{00000001-1CBA-40D3-A590-8BDA9DF881CE}"/>
            </c:ext>
          </c:extLst>
        </c:ser>
        <c:ser>
          <c:idx val="2"/>
          <c:order val="2"/>
          <c:tx>
            <c:strRef>
              <c:f>Sheet5!$C$3</c:f>
              <c:strCache>
                <c:ptCount val="1"/>
                <c:pt idx="0">
                  <c:v>Sum of in_deezer_playlists</c:v>
                </c:pt>
              </c:strCache>
            </c:strRef>
          </c:tx>
          <c:spPr>
            <a:solidFill>
              <a:schemeClr val="accent6">
                <a:tint val="83000"/>
              </a:schemeClr>
            </a:solidFill>
            <a:ln>
              <a:noFill/>
            </a:ln>
            <a:effectLst/>
          </c:spPr>
          <c:invertIfNegative val="0"/>
          <c:cat>
            <c:strRef>
              <c:f>Sheet5!$A$4</c:f>
              <c:strCache>
                <c:ptCount val="1"/>
                <c:pt idx="0">
                  <c:v>Total</c:v>
                </c:pt>
              </c:strCache>
            </c:strRef>
          </c:cat>
          <c:val>
            <c:numRef>
              <c:f>Sheet5!$C$4</c:f>
              <c:numCache>
                <c:formatCode>General</c:formatCode>
                <c:ptCount val="1"/>
                <c:pt idx="0">
                  <c:v>10291</c:v>
                </c:pt>
              </c:numCache>
            </c:numRef>
          </c:val>
          <c:extLst>
            <c:ext xmlns:c16="http://schemas.microsoft.com/office/drawing/2014/chart" uri="{C3380CC4-5D6E-409C-BE32-E72D297353CC}">
              <c16:uniqueId val="{00000002-1CBA-40D3-A590-8BDA9DF881CE}"/>
            </c:ext>
          </c:extLst>
        </c:ser>
        <c:ser>
          <c:idx val="3"/>
          <c:order val="3"/>
          <c:tx>
            <c:strRef>
              <c:f>Sheet5!$D$3</c:f>
              <c:strCache>
                <c:ptCount val="1"/>
                <c:pt idx="0">
                  <c:v>Sum of in_apple_charts</c:v>
                </c:pt>
              </c:strCache>
            </c:strRef>
          </c:tx>
          <c:spPr>
            <a:solidFill>
              <a:schemeClr val="accent6"/>
            </a:solidFill>
            <a:ln>
              <a:noFill/>
            </a:ln>
            <a:effectLst/>
          </c:spPr>
          <c:invertIfNegative val="0"/>
          <c:cat>
            <c:strRef>
              <c:f>Sheet5!$A$4</c:f>
              <c:strCache>
                <c:ptCount val="1"/>
                <c:pt idx="0">
                  <c:v>Total</c:v>
                </c:pt>
              </c:strCache>
            </c:strRef>
          </c:cat>
          <c:val>
            <c:numRef>
              <c:f>Sheet5!$D$4</c:f>
              <c:numCache>
                <c:formatCode>General</c:formatCode>
                <c:ptCount val="1"/>
                <c:pt idx="0">
                  <c:v>6971</c:v>
                </c:pt>
              </c:numCache>
            </c:numRef>
          </c:val>
          <c:extLst>
            <c:ext xmlns:c16="http://schemas.microsoft.com/office/drawing/2014/chart" uri="{C3380CC4-5D6E-409C-BE32-E72D297353CC}">
              <c16:uniqueId val="{00000003-1CBA-40D3-A590-8BDA9DF881CE}"/>
            </c:ext>
          </c:extLst>
        </c:ser>
        <c:dLbls>
          <c:showLegendKey val="0"/>
          <c:showVal val="0"/>
          <c:showCatName val="0"/>
          <c:showSerName val="0"/>
          <c:showPercent val="0"/>
          <c:showBubbleSize val="0"/>
        </c:dLbls>
        <c:gapWidth val="150"/>
        <c:axId val="130007439"/>
        <c:axId val="130003599"/>
      </c:barChart>
      <c:lineChart>
        <c:grouping val="standard"/>
        <c:varyColors val="0"/>
        <c:ser>
          <c:idx val="4"/>
          <c:order val="4"/>
          <c:tx>
            <c:strRef>
              <c:f>Sheet5!$E$3</c:f>
              <c:strCache>
                <c:ptCount val="1"/>
                <c:pt idx="0">
                  <c:v>Sum of in_deezer_charts</c:v>
                </c:pt>
              </c:strCache>
            </c:strRef>
          </c:tx>
          <c:spPr>
            <a:ln w="28575" cap="rnd">
              <a:solidFill>
                <a:schemeClr val="accent6">
                  <a:shade val="82000"/>
                </a:schemeClr>
              </a:solidFill>
              <a:round/>
            </a:ln>
            <a:effectLst/>
          </c:spPr>
          <c:marker>
            <c:symbol val="none"/>
          </c:marker>
          <c:cat>
            <c:strRef>
              <c:f>Sheet5!$A$4</c:f>
              <c:strCache>
                <c:ptCount val="1"/>
                <c:pt idx="0">
                  <c:v>Total</c:v>
                </c:pt>
              </c:strCache>
            </c:strRef>
          </c:cat>
          <c:val>
            <c:numRef>
              <c:f>Sheet5!$E$4</c:f>
              <c:numCache>
                <c:formatCode>General</c:formatCode>
                <c:ptCount val="1"/>
                <c:pt idx="0">
                  <c:v>658</c:v>
                </c:pt>
              </c:numCache>
            </c:numRef>
          </c:val>
          <c:smooth val="0"/>
          <c:extLst>
            <c:ext xmlns:c16="http://schemas.microsoft.com/office/drawing/2014/chart" uri="{C3380CC4-5D6E-409C-BE32-E72D297353CC}">
              <c16:uniqueId val="{00000004-1CBA-40D3-A590-8BDA9DF881CE}"/>
            </c:ext>
          </c:extLst>
        </c:ser>
        <c:ser>
          <c:idx val="5"/>
          <c:order val="5"/>
          <c:tx>
            <c:strRef>
              <c:f>Sheet5!$F$3</c:f>
              <c:strCache>
                <c:ptCount val="1"/>
                <c:pt idx="0">
                  <c:v>Sum of in_spotify_charts</c:v>
                </c:pt>
              </c:strCache>
            </c:strRef>
          </c:tx>
          <c:spPr>
            <a:ln w="28575" cap="rnd">
              <a:solidFill>
                <a:schemeClr val="accent6">
                  <a:shade val="65000"/>
                </a:schemeClr>
              </a:solidFill>
              <a:round/>
            </a:ln>
            <a:effectLst/>
          </c:spPr>
          <c:marker>
            <c:symbol val="none"/>
          </c:marker>
          <c:cat>
            <c:strRef>
              <c:f>Sheet5!$A$4</c:f>
              <c:strCache>
                <c:ptCount val="1"/>
                <c:pt idx="0">
                  <c:v>Total</c:v>
                </c:pt>
              </c:strCache>
            </c:strRef>
          </c:cat>
          <c:val>
            <c:numRef>
              <c:f>Sheet5!$F$4</c:f>
              <c:numCache>
                <c:formatCode>General</c:formatCode>
                <c:ptCount val="1"/>
                <c:pt idx="0">
                  <c:v>3190</c:v>
                </c:pt>
              </c:numCache>
            </c:numRef>
          </c:val>
          <c:smooth val="0"/>
          <c:extLst>
            <c:ext xmlns:c16="http://schemas.microsoft.com/office/drawing/2014/chart" uri="{C3380CC4-5D6E-409C-BE32-E72D297353CC}">
              <c16:uniqueId val="{00000005-1CBA-40D3-A590-8BDA9DF881CE}"/>
            </c:ext>
          </c:extLst>
        </c:ser>
        <c:ser>
          <c:idx val="6"/>
          <c:order val="6"/>
          <c:tx>
            <c:strRef>
              <c:f>Sheet5!$G$3</c:f>
              <c:strCache>
                <c:ptCount val="1"/>
                <c:pt idx="0">
                  <c:v>Sum of released_year</c:v>
                </c:pt>
              </c:strCache>
            </c:strRef>
          </c:tx>
          <c:spPr>
            <a:ln w="28575" cap="rnd">
              <a:solidFill>
                <a:schemeClr val="accent6">
                  <a:shade val="47000"/>
                </a:schemeClr>
              </a:solidFill>
              <a:round/>
            </a:ln>
            <a:effectLst/>
          </c:spPr>
          <c:marker>
            <c:symbol val="none"/>
          </c:marker>
          <c:cat>
            <c:strRef>
              <c:f>Sheet5!$A$4</c:f>
              <c:strCache>
                <c:ptCount val="1"/>
                <c:pt idx="0">
                  <c:v>Total</c:v>
                </c:pt>
              </c:strCache>
            </c:strRef>
          </c:cat>
          <c:val>
            <c:numRef>
              <c:f>Sheet5!$G$4</c:f>
              <c:numCache>
                <c:formatCode>General</c:formatCode>
                <c:ptCount val="1"/>
                <c:pt idx="0">
                  <c:v>99060</c:v>
                </c:pt>
              </c:numCache>
            </c:numRef>
          </c:val>
          <c:smooth val="0"/>
          <c:extLst>
            <c:ext xmlns:c16="http://schemas.microsoft.com/office/drawing/2014/chart" uri="{C3380CC4-5D6E-409C-BE32-E72D297353CC}">
              <c16:uniqueId val="{00000006-1CBA-40D3-A590-8BDA9DF881CE}"/>
            </c:ext>
          </c:extLst>
        </c:ser>
        <c:dLbls>
          <c:showLegendKey val="0"/>
          <c:showVal val="0"/>
          <c:showCatName val="0"/>
          <c:showSerName val="0"/>
          <c:showPercent val="0"/>
          <c:showBubbleSize val="0"/>
        </c:dLbls>
        <c:marker val="1"/>
        <c:smooth val="0"/>
        <c:axId val="130007439"/>
        <c:axId val="130003599"/>
      </c:lineChart>
      <c:catAx>
        <c:axId val="1300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3599"/>
        <c:crosses val="autoZero"/>
        <c:auto val="1"/>
        <c:lblAlgn val="ctr"/>
        <c:lblOffset val="100"/>
        <c:noMultiLvlLbl val="0"/>
      </c:catAx>
      <c:valAx>
        <c:axId val="13000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(Recovered).xlsx]Sheet6!PivotTable4</c:name>
    <c:fmtId val="23"/>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92038495188101E-2"/>
          <c:y val="5.5555555555555552E-2"/>
          <c:w val="0.27046106736657916"/>
          <c:h val="0.8416746864975212"/>
        </c:manualLayout>
      </c:layout>
      <c:area3DChart>
        <c:grouping val="standard"/>
        <c:varyColors val="0"/>
        <c:ser>
          <c:idx val="0"/>
          <c:order val="0"/>
          <c:tx>
            <c:strRef>
              <c:f>Sheet6!$B$3</c:f>
              <c:strCache>
                <c:ptCount val="1"/>
                <c:pt idx="0">
                  <c:v>Sum of in_deezer_playlists</c:v>
                </c:pt>
              </c:strCache>
            </c:strRef>
          </c:tx>
          <c:spPr>
            <a:solidFill>
              <a:schemeClr val="accent6">
                <a:tint val="65000"/>
              </a:schemeClr>
            </a:solidFill>
            <a:ln>
              <a:noFill/>
            </a:ln>
            <a:effectLst/>
            <a:sp3d/>
          </c:spPr>
          <c:cat>
            <c:strRef>
              <c:f>Sheet6!$A$4:$A$8</c:f>
              <c:strCache>
                <c:ptCount val="4"/>
                <c:pt idx="0">
                  <c:v>0</c:v>
                </c:pt>
                <c:pt idx="1">
                  <c:v>2</c:v>
                </c:pt>
                <c:pt idx="2">
                  <c:v>17</c:v>
                </c:pt>
                <c:pt idx="3">
                  <c:v>63</c:v>
                </c:pt>
              </c:strCache>
            </c:strRef>
          </c:cat>
          <c:val>
            <c:numRef>
              <c:f>Sheet6!$B$4:$B$8</c:f>
              <c:numCache>
                <c:formatCode>General</c:formatCode>
                <c:ptCount val="4"/>
                <c:pt idx="0">
                  <c:v>9461</c:v>
                </c:pt>
                <c:pt idx="1">
                  <c:v>582</c:v>
                </c:pt>
                <c:pt idx="2">
                  <c:v>161</c:v>
                </c:pt>
                <c:pt idx="3">
                  <c:v>87</c:v>
                </c:pt>
              </c:numCache>
            </c:numRef>
          </c:val>
          <c:extLst>
            <c:ext xmlns:c16="http://schemas.microsoft.com/office/drawing/2014/chart" uri="{C3380CC4-5D6E-409C-BE32-E72D297353CC}">
              <c16:uniqueId val="{00000000-D7D8-43A1-B2DD-7F3DF6130764}"/>
            </c:ext>
          </c:extLst>
        </c:ser>
        <c:ser>
          <c:idx val="1"/>
          <c:order val="1"/>
          <c:tx>
            <c:strRef>
              <c:f>Sheet6!$C$3</c:f>
              <c:strCache>
                <c:ptCount val="1"/>
                <c:pt idx="0">
                  <c:v>Sum of in_deezer_charts</c:v>
                </c:pt>
              </c:strCache>
            </c:strRef>
          </c:tx>
          <c:spPr>
            <a:solidFill>
              <a:schemeClr val="accent6"/>
            </a:solidFill>
            <a:ln>
              <a:noFill/>
            </a:ln>
            <a:effectLst/>
            <a:sp3d/>
          </c:spPr>
          <c:cat>
            <c:strRef>
              <c:f>Sheet6!$A$4:$A$8</c:f>
              <c:strCache>
                <c:ptCount val="4"/>
                <c:pt idx="0">
                  <c:v>0</c:v>
                </c:pt>
                <c:pt idx="1">
                  <c:v>2</c:v>
                </c:pt>
                <c:pt idx="2">
                  <c:v>17</c:v>
                </c:pt>
                <c:pt idx="3">
                  <c:v>63</c:v>
                </c:pt>
              </c:strCache>
            </c:strRef>
          </c:cat>
          <c:val>
            <c:numRef>
              <c:f>Sheet6!$C$4:$C$8</c:f>
              <c:numCache>
                <c:formatCode>General</c:formatCode>
                <c:ptCount val="4"/>
                <c:pt idx="0">
                  <c:v>629</c:v>
                </c:pt>
                <c:pt idx="1">
                  <c:v>2</c:v>
                </c:pt>
                <c:pt idx="2">
                  <c:v>12</c:v>
                </c:pt>
                <c:pt idx="3">
                  <c:v>15</c:v>
                </c:pt>
              </c:numCache>
            </c:numRef>
          </c:val>
          <c:extLst>
            <c:ext xmlns:c16="http://schemas.microsoft.com/office/drawing/2014/chart" uri="{C3380CC4-5D6E-409C-BE32-E72D297353CC}">
              <c16:uniqueId val="{00000001-D7D8-43A1-B2DD-7F3DF6130764}"/>
            </c:ext>
          </c:extLst>
        </c:ser>
        <c:ser>
          <c:idx val="2"/>
          <c:order val="2"/>
          <c:tx>
            <c:strRef>
              <c:f>Sheet6!$D$3</c:f>
              <c:strCache>
                <c:ptCount val="1"/>
                <c:pt idx="0">
                  <c:v>Sum of in_shazam_charts</c:v>
                </c:pt>
              </c:strCache>
            </c:strRef>
          </c:tx>
          <c:spPr>
            <a:solidFill>
              <a:schemeClr val="accent6">
                <a:shade val="65000"/>
              </a:schemeClr>
            </a:solidFill>
            <a:ln>
              <a:noFill/>
            </a:ln>
            <a:effectLst/>
            <a:sp3d/>
          </c:spPr>
          <c:cat>
            <c:strRef>
              <c:f>Sheet6!$A$4:$A$8</c:f>
              <c:strCache>
                <c:ptCount val="4"/>
                <c:pt idx="0">
                  <c:v>0</c:v>
                </c:pt>
                <c:pt idx="1">
                  <c:v>2</c:v>
                </c:pt>
                <c:pt idx="2">
                  <c:v>17</c:v>
                </c:pt>
                <c:pt idx="3">
                  <c:v>63</c:v>
                </c:pt>
              </c:strCache>
            </c:strRef>
          </c:cat>
          <c:val>
            <c:numRef>
              <c:f>Sheet6!$D$4:$D$8</c:f>
              <c:numCache>
                <c:formatCode>General</c:formatCode>
                <c:ptCount val="4"/>
                <c:pt idx="0">
                  <c:v>16823</c:v>
                </c:pt>
                <c:pt idx="1">
                  <c:v>73</c:v>
                </c:pt>
                <c:pt idx="2">
                  <c:v>187</c:v>
                </c:pt>
                <c:pt idx="3">
                  <c:v>425</c:v>
                </c:pt>
              </c:numCache>
            </c:numRef>
          </c:val>
          <c:extLst>
            <c:ext xmlns:c16="http://schemas.microsoft.com/office/drawing/2014/chart" uri="{C3380CC4-5D6E-409C-BE32-E72D297353CC}">
              <c16:uniqueId val="{00000002-D7D8-43A1-B2DD-7F3DF6130764}"/>
            </c:ext>
          </c:extLst>
        </c:ser>
        <c:dLbls>
          <c:showLegendKey val="0"/>
          <c:showVal val="0"/>
          <c:showCatName val="0"/>
          <c:showSerName val="0"/>
          <c:showPercent val="0"/>
          <c:showBubbleSize val="0"/>
        </c:dLbls>
        <c:axId val="130029039"/>
        <c:axId val="130030959"/>
        <c:axId val="1043105631"/>
      </c:area3DChart>
      <c:catAx>
        <c:axId val="130029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0959"/>
        <c:crosses val="autoZero"/>
        <c:auto val="1"/>
        <c:lblAlgn val="ctr"/>
        <c:lblOffset val="100"/>
        <c:noMultiLvlLbl val="0"/>
      </c:catAx>
      <c:valAx>
        <c:axId val="1300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29039"/>
        <c:crosses val="autoZero"/>
        <c:crossBetween val="midCat"/>
      </c:valAx>
      <c:serAx>
        <c:axId val="10431056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09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(Recovered).xlsx]Sheet7!PivotTable7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Sheet7!$B$3</c:f>
              <c:strCache>
                <c:ptCount val="1"/>
                <c:pt idx="0">
                  <c:v>Total</c:v>
                </c:pt>
              </c:strCache>
            </c:strRef>
          </c:tx>
          <c:spPr>
            <a:solidFill>
              <a:schemeClr val="accent6"/>
            </a:solidFill>
            <a:ln>
              <a:noFill/>
            </a:ln>
            <a:effectLst/>
            <a:sp3d/>
          </c:spPr>
          <c:cat>
            <c:strRef>
              <c:f>Sheet7!$A$4:$A$53</c:f>
              <c:strCache>
                <c:ptCount val="49"/>
                <c:pt idx="0">
                  <c:v>Angels Like You</c:v>
                </c:pt>
                <c:pt idx="1">
                  <c:v>Anti-Hero</c:v>
                </c:pt>
                <c:pt idx="2">
                  <c:v>As It Was</c:v>
                </c:pt>
                <c:pt idx="3">
                  <c:v>Barbie World (with Aqua) </c:v>
                </c:pt>
                <c:pt idx="4">
                  <c:v>Blank Space</c:v>
                </c:pt>
                <c:pt idx="5">
                  <c:v>Calm Down (with Selena Gomez)</c:v>
                </c:pt>
                <c:pt idx="6">
                  <c:v>Classy 101</c:v>
                </c:pt>
                <c:pt idx="7">
                  <c:v>Columbia</c:v>
                </c:pt>
                <c:pt idx="8">
                  <c:v>Creepin'</c:v>
                </c:pt>
                <c:pt idx="9">
                  <c:v>Cruel Summer</c:v>
                </c:pt>
                <c:pt idx="10">
                  <c:v>Cupid - Twin Ver.</c:v>
                </c:pt>
                <c:pt idx="11">
                  <c:v>Dance The Night (From Barbie The Album)</c:v>
                </c:pt>
                <c:pt idx="12">
                  <c:v>Daylight</c:v>
                </c:pt>
                <c:pt idx="13">
                  <c:v>Die For You</c:v>
                </c:pt>
                <c:pt idx="14">
                  <c:v>El Azul</c:v>
                </c:pt>
                <c:pt idx="15">
                  <c:v>Ella Baila Sola</c:v>
                </c:pt>
                <c:pt idx="16">
                  <c:v>Flowers</c:v>
                </c:pt>
                <c:pt idx="17">
                  <c:v>FrÃ¯Â¿Â½Ã¯Â¿Â½gil (feat. Grupo Front</c:v>
                </c:pt>
                <c:pt idx="18">
                  <c:v>fukumean</c:v>
                </c:pt>
                <c:pt idx="19">
                  <c:v>I Ain't Worried</c:v>
                </c:pt>
                <c:pt idx="20">
                  <c:v>I Can See You </c:v>
                </c:pt>
                <c:pt idx="21">
                  <c:v>I Wanna Be Yours</c:v>
                </c:pt>
                <c:pt idx="22">
                  <c:v>I'm Good (Blue)</c:v>
                </c:pt>
                <c:pt idx="23">
                  <c:v>Kill Bill</c:v>
                </c:pt>
                <c:pt idx="24">
                  <c:v>La Bebe - Remix</c:v>
                </c:pt>
                <c:pt idx="25">
                  <c:v>LADY GAGA</c:v>
                </c:pt>
                <c:pt idx="26">
                  <c:v>LALA</c:v>
                </c:pt>
                <c:pt idx="27">
                  <c:v>Last Night</c:v>
                </c:pt>
                <c:pt idx="28">
                  <c:v>Like Crazy</c:v>
                </c:pt>
                <c:pt idx="29">
                  <c:v>Los del Espacio</c:v>
                </c:pt>
                <c:pt idx="30">
                  <c:v>MOJABI GHOST</c:v>
                </c:pt>
                <c:pt idx="31">
                  <c:v>Peso Pluma: Bzrp Music Sessions, Vol. 55</c:v>
                </c:pt>
                <c:pt idx="32">
                  <c:v>Popular (with Playboi Carti &amp; Madonna) </c:v>
                </c:pt>
                <c:pt idx="33">
                  <c:v>Rush</c:v>
                </c:pt>
                <c:pt idx="34">
                  <c:v>SABOR FRESA</c:v>
                </c:pt>
                <c:pt idx="35">
                  <c:v>See You Again</c:v>
                </c:pt>
                <c:pt idx="36">
                  <c:v>Seven (feat. Latto) (Explicit Ver.)</c:v>
                </c:pt>
                <c:pt idx="37">
                  <c:v>Sprinter</c:v>
                </c:pt>
                <c:pt idx="38">
                  <c:v>Starboy</c:v>
                </c:pt>
                <c:pt idx="39">
                  <c:v>Style</c:v>
                </c:pt>
                <c:pt idx="40">
                  <c:v>Sunflower - Spider-Man: Into the Spider-Verse</c:v>
                </c:pt>
                <c:pt idx="41">
                  <c:v>Super Shy</c:v>
                </c:pt>
                <c:pt idx="42">
                  <c:v>TQG</c:v>
                </c:pt>
                <c:pt idx="43">
                  <c:v>TQM</c:v>
                </c:pt>
                <c:pt idx="44">
                  <c:v>TULUM</c:v>
                </c:pt>
                <c:pt idx="45">
                  <c:v>un x100to</c:v>
                </c:pt>
                <c:pt idx="46">
                  <c:v>vampire</c:v>
                </c:pt>
                <c:pt idx="47">
                  <c:v>What Was I Made For? </c:v>
                </c:pt>
                <c:pt idx="48">
                  <c:v>WHERE SHE GOES</c:v>
                </c:pt>
              </c:strCache>
            </c:strRef>
          </c:cat>
          <c:val>
            <c:numRef>
              <c:f>Sheet7!$B$4:$B$53</c:f>
              <c:numCache>
                <c:formatCode>General</c:formatCode>
                <c:ptCount val="49"/>
                <c:pt idx="0">
                  <c:v>2020</c:v>
                </c:pt>
                <c:pt idx="1">
                  <c:v>2022</c:v>
                </c:pt>
                <c:pt idx="2">
                  <c:v>2022</c:v>
                </c:pt>
                <c:pt idx="3">
                  <c:v>2023</c:v>
                </c:pt>
                <c:pt idx="4">
                  <c:v>2014</c:v>
                </c:pt>
                <c:pt idx="5">
                  <c:v>2022</c:v>
                </c:pt>
                <c:pt idx="6">
                  <c:v>2023</c:v>
                </c:pt>
                <c:pt idx="7">
                  <c:v>2023</c:v>
                </c:pt>
                <c:pt idx="8">
                  <c:v>2022</c:v>
                </c:pt>
                <c:pt idx="9">
                  <c:v>2019</c:v>
                </c:pt>
                <c:pt idx="10">
                  <c:v>2023</c:v>
                </c:pt>
                <c:pt idx="11">
                  <c:v>2023</c:v>
                </c:pt>
                <c:pt idx="12">
                  <c:v>2023</c:v>
                </c:pt>
                <c:pt idx="13">
                  <c:v>2016</c:v>
                </c:pt>
                <c:pt idx="14">
                  <c:v>2023</c:v>
                </c:pt>
                <c:pt idx="15">
                  <c:v>2023</c:v>
                </c:pt>
                <c:pt idx="16">
                  <c:v>2023</c:v>
                </c:pt>
                <c:pt idx="17">
                  <c:v>2023</c:v>
                </c:pt>
                <c:pt idx="18">
                  <c:v>2023</c:v>
                </c:pt>
                <c:pt idx="19">
                  <c:v>2022</c:v>
                </c:pt>
                <c:pt idx="20">
                  <c:v>2023</c:v>
                </c:pt>
                <c:pt idx="21">
                  <c:v>2013</c:v>
                </c:pt>
                <c:pt idx="22">
                  <c:v>2022</c:v>
                </c:pt>
                <c:pt idx="23">
                  <c:v>2022</c:v>
                </c:pt>
                <c:pt idx="24">
                  <c:v>2023</c:v>
                </c:pt>
                <c:pt idx="25">
                  <c:v>2023</c:v>
                </c:pt>
                <c:pt idx="26">
                  <c:v>2023</c:v>
                </c:pt>
                <c:pt idx="27">
                  <c:v>2023</c:v>
                </c:pt>
                <c:pt idx="28">
                  <c:v>2023</c:v>
                </c:pt>
                <c:pt idx="29">
                  <c:v>2023</c:v>
                </c:pt>
                <c:pt idx="30">
                  <c:v>2023</c:v>
                </c:pt>
                <c:pt idx="31">
                  <c:v>2023</c:v>
                </c:pt>
                <c:pt idx="32">
                  <c:v>2023</c:v>
                </c:pt>
                <c:pt idx="33">
                  <c:v>2023</c:v>
                </c:pt>
                <c:pt idx="34">
                  <c:v>2023</c:v>
                </c:pt>
                <c:pt idx="35">
                  <c:v>2017</c:v>
                </c:pt>
                <c:pt idx="36">
                  <c:v>2023</c:v>
                </c:pt>
                <c:pt idx="37">
                  <c:v>2023</c:v>
                </c:pt>
                <c:pt idx="38">
                  <c:v>2016</c:v>
                </c:pt>
                <c:pt idx="39">
                  <c:v>2014</c:v>
                </c:pt>
                <c:pt idx="40">
                  <c:v>2018</c:v>
                </c:pt>
                <c:pt idx="41">
                  <c:v>2023</c:v>
                </c:pt>
                <c:pt idx="42">
                  <c:v>2023</c:v>
                </c:pt>
                <c:pt idx="43">
                  <c:v>2023</c:v>
                </c:pt>
                <c:pt idx="44">
                  <c:v>2023</c:v>
                </c:pt>
                <c:pt idx="45">
                  <c:v>2023</c:v>
                </c:pt>
                <c:pt idx="46">
                  <c:v>2023</c:v>
                </c:pt>
                <c:pt idx="47">
                  <c:v>2023</c:v>
                </c:pt>
                <c:pt idx="48">
                  <c:v>2023</c:v>
                </c:pt>
              </c:numCache>
            </c:numRef>
          </c:val>
          <c:extLst>
            <c:ext xmlns:c16="http://schemas.microsoft.com/office/drawing/2014/chart" uri="{C3380CC4-5D6E-409C-BE32-E72D297353CC}">
              <c16:uniqueId val="{00000000-9961-4F0D-8CFE-B0726CF44DD8}"/>
            </c:ext>
          </c:extLst>
        </c:ser>
        <c:dLbls>
          <c:showLegendKey val="0"/>
          <c:showVal val="0"/>
          <c:showCatName val="0"/>
          <c:showSerName val="0"/>
          <c:showPercent val="0"/>
          <c:showBubbleSize val="0"/>
        </c:dLbls>
        <c:axId val="1133452175"/>
        <c:axId val="1133468975"/>
        <c:axId val="0"/>
      </c:area3DChart>
      <c:catAx>
        <c:axId val="113345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68975"/>
        <c:crosses val="autoZero"/>
        <c:auto val="1"/>
        <c:lblAlgn val="ctr"/>
        <c:lblOffset val="100"/>
        <c:noMultiLvlLbl val="0"/>
      </c:catAx>
      <c:valAx>
        <c:axId val="113346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52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(Recovered).xlsx]Sheet3!PivotTable2</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025371828521428E-2"/>
          <c:y val="2.5428331875182269E-2"/>
          <c:w val="0.87753018372703417"/>
          <c:h val="0.47951990376202974"/>
        </c:manualLayout>
      </c:layout>
      <c:bar3DChart>
        <c:barDir val="col"/>
        <c:grouping val="clustered"/>
        <c:varyColors val="0"/>
        <c:ser>
          <c:idx val="0"/>
          <c:order val="0"/>
          <c:tx>
            <c:strRef>
              <c:f>Sheet3!$B$3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Sheet3!$A$4:$A$54</c:f>
              <c:strCache>
                <c:ptCount val="50"/>
                <c:pt idx="0">
                  <c:v>Angels Like You</c:v>
                </c:pt>
                <c:pt idx="1">
                  <c:v>Anti-Hero</c:v>
                </c:pt>
                <c:pt idx="2">
                  <c:v>As It Was</c:v>
                </c:pt>
                <c:pt idx="3">
                  <c:v>Barbie World (with Aqua) </c:v>
                </c:pt>
                <c:pt idx="4">
                  <c:v>Blank Space</c:v>
                </c:pt>
                <c:pt idx="5">
                  <c:v>Calm Down (with Selena Gomez)</c:v>
                </c:pt>
                <c:pt idx="6">
                  <c:v>Classy 101</c:v>
                </c:pt>
                <c:pt idx="7">
                  <c:v>Columbia</c:v>
                </c:pt>
                <c:pt idx="8">
                  <c:v>Creepin'</c:v>
                </c:pt>
                <c:pt idx="9">
                  <c:v>Cruel Summer</c:v>
                </c:pt>
                <c:pt idx="10">
                  <c:v>Cupid - Twin Ver.</c:v>
                </c:pt>
                <c:pt idx="11">
                  <c:v>Dance The Night (From Barbie The Album)</c:v>
                </c:pt>
                <c:pt idx="12">
                  <c:v>Daylight</c:v>
                </c:pt>
                <c:pt idx="13">
                  <c:v>Die For You</c:v>
                </c:pt>
                <c:pt idx="14">
                  <c:v>El Azul</c:v>
                </c:pt>
                <c:pt idx="15">
                  <c:v>Ella Baila Sola</c:v>
                </c:pt>
                <c:pt idx="16">
                  <c:v>Flowers</c:v>
                </c:pt>
                <c:pt idx="17">
                  <c:v>FrÃ¯Â¿Â½Ã¯Â¿Â½gil (feat. Grupo Front</c:v>
                </c:pt>
                <c:pt idx="18">
                  <c:v>fukumean</c:v>
                </c:pt>
                <c:pt idx="19">
                  <c:v>I Ain't Worried</c:v>
                </c:pt>
                <c:pt idx="20">
                  <c:v>I Can See You </c:v>
                </c:pt>
                <c:pt idx="21">
                  <c:v>I Wanna Be Yours</c:v>
                </c:pt>
                <c:pt idx="22">
                  <c:v>I'm Good (Blue)</c:v>
                </c:pt>
                <c:pt idx="23">
                  <c:v>Kill Bill</c:v>
                </c:pt>
                <c:pt idx="24">
                  <c:v>La Bebe - Remix</c:v>
                </c:pt>
                <c:pt idx="25">
                  <c:v>LADY GAGA</c:v>
                </c:pt>
                <c:pt idx="26">
                  <c:v>LALA</c:v>
                </c:pt>
                <c:pt idx="27">
                  <c:v>Last Night</c:v>
                </c:pt>
                <c:pt idx="28">
                  <c:v>Like Crazy</c:v>
                </c:pt>
                <c:pt idx="29">
                  <c:v>Los del Espacio</c:v>
                </c:pt>
                <c:pt idx="30">
                  <c:v>MOJABI GHOST</c:v>
                </c:pt>
                <c:pt idx="31">
                  <c:v>Peso Pluma: Bzrp Music Sessions, Vol. 55</c:v>
                </c:pt>
                <c:pt idx="32">
                  <c:v>Popular (with Playboi Carti &amp; Madonna) </c:v>
                </c:pt>
                <c:pt idx="33">
                  <c:v>Rush</c:v>
                </c:pt>
                <c:pt idx="34">
                  <c:v>SABOR FRESA</c:v>
                </c:pt>
                <c:pt idx="35">
                  <c:v>See You Again</c:v>
                </c:pt>
                <c:pt idx="36">
                  <c:v>Seven (feat. Latto) (Explicit Ver.)</c:v>
                </c:pt>
                <c:pt idx="37">
                  <c:v>Sprinter</c:v>
                </c:pt>
                <c:pt idx="38">
                  <c:v>Starboy</c:v>
                </c:pt>
                <c:pt idx="39">
                  <c:v>Style</c:v>
                </c:pt>
                <c:pt idx="40">
                  <c:v>Sunflower - Spider-Man: Into the Spider-Verse</c:v>
                </c:pt>
                <c:pt idx="41">
                  <c:v>Super Shy</c:v>
                </c:pt>
                <c:pt idx="42">
                  <c:v>TQG</c:v>
                </c:pt>
                <c:pt idx="43">
                  <c:v>TQM</c:v>
                </c:pt>
                <c:pt idx="44">
                  <c:v>TULUM</c:v>
                </c:pt>
                <c:pt idx="45">
                  <c:v>un x100to</c:v>
                </c:pt>
                <c:pt idx="46">
                  <c:v>vampire</c:v>
                </c:pt>
                <c:pt idx="47">
                  <c:v>What Was I Made For? </c:v>
                </c:pt>
                <c:pt idx="48">
                  <c:v>WHERE SHE GOES</c:v>
                </c:pt>
                <c:pt idx="49">
                  <c:v>(blank)</c:v>
                </c:pt>
              </c:strCache>
            </c:strRef>
          </c:cat>
          <c:val>
            <c:numRef>
              <c:f>Sheet3!$B$4:$B$54</c:f>
              <c:numCache>
                <c:formatCode>General</c:formatCode>
                <c:ptCount val="50"/>
                <c:pt idx="0">
                  <c:v>2020</c:v>
                </c:pt>
                <c:pt idx="1">
                  <c:v>2022</c:v>
                </c:pt>
                <c:pt idx="2">
                  <c:v>2022</c:v>
                </c:pt>
                <c:pt idx="3">
                  <c:v>2023</c:v>
                </c:pt>
                <c:pt idx="4">
                  <c:v>2014</c:v>
                </c:pt>
                <c:pt idx="5">
                  <c:v>2022</c:v>
                </c:pt>
                <c:pt idx="6">
                  <c:v>2023</c:v>
                </c:pt>
                <c:pt idx="7">
                  <c:v>2023</c:v>
                </c:pt>
                <c:pt idx="8">
                  <c:v>2022</c:v>
                </c:pt>
                <c:pt idx="9">
                  <c:v>2019</c:v>
                </c:pt>
                <c:pt idx="10">
                  <c:v>2023</c:v>
                </c:pt>
                <c:pt idx="11">
                  <c:v>2023</c:v>
                </c:pt>
                <c:pt idx="12">
                  <c:v>2023</c:v>
                </c:pt>
                <c:pt idx="13">
                  <c:v>2016</c:v>
                </c:pt>
                <c:pt idx="14">
                  <c:v>2023</c:v>
                </c:pt>
                <c:pt idx="15">
                  <c:v>2023</c:v>
                </c:pt>
                <c:pt idx="16">
                  <c:v>2023</c:v>
                </c:pt>
                <c:pt idx="17">
                  <c:v>2023</c:v>
                </c:pt>
                <c:pt idx="18">
                  <c:v>2023</c:v>
                </c:pt>
                <c:pt idx="19">
                  <c:v>2022</c:v>
                </c:pt>
                <c:pt idx="20">
                  <c:v>2023</c:v>
                </c:pt>
                <c:pt idx="21">
                  <c:v>2013</c:v>
                </c:pt>
                <c:pt idx="22">
                  <c:v>2022</c:v>
                </c:pt>
                <c:pt idx="23">
                  <c:v>2022</c:v>
                </c:pt>
                <c:pt idx="24">
                  <c:v>2023</c:v>
                </c:pt>
                <c:pt idx="25">
                  <c:v>2023</c:v>
                </c:pt>
                <c:pt idx="26">
                  <c:v>2023</c:v>
                </c:pt>
                <c:pt idx="27">
                  <c:v>2023</c:v>
                </c:pt>
                <c:pt idx="28">
                  <c:v>2023</c:v>
                </c:pt>
                <c:pt idx="29">
                  <c:v>2023</c:v>
                </c:pt>
                <c:pt idx="30">
                  <c:v>2023</c:v>
                </c:pt>
                <c:pt idx="31">
                  <c:v>2023</c:v>
                </c:pt>
                <c:pt idx="32">
                  <c:v>2023</c:v>
                </c:pt>
                <c:pt idx="33">
                  <c:v>2023</c:v>
                </c:pt>
                <c:pt idx="34">
                  <c:v>2023</c:v>
                </c:pt>
                <c:pt idx="35">
                  <c:v>2017</c:v>
                </c:pt>
                <c:pt idx="36">
                  <c:v>2023</c:v>
                </c:pt>
                <c:pt idx="37">
                  <c:v>2023</c:v>
                </c:pt>
                <c:pt idx="38">
                  <c:v>2016</c:v>
                </c:pt>
                <c:pt idx="39">
                  <c:v>2014</c:v>
                </c:pt>
                <c:pt idx="40">
                  <c:v>2018</c:v>
                </c:pt>
                <c:pt idx="41">
                  <c:v>2023</c:v>
                </c:pt>
                <c:pt idx="42">
                  <c:v>2023</c:v>
                </c:pt>
                <c:pt idx="43">
                  <c:v>2023</c:v>
                </c:pt>
                <c:pt idx="44">
                  <c:v>2023</c:v>
                </c:pt>
                <c:pt idx="45">
                  <c:v>2023</c:v>
                </c:pt>
                <c:pt idx="46">
                  <c:v>2023</c:v>
                </c:pt>
                <c:pt idx="47">
                  <c:v>2023</c:v>
                </c:pt>
                <c:pt idx="48">
                  <c:v>2023</c:v>
                </c:pt>
              </c:numCache>
            </c:numRef>
          </c:val>
          <c:extLst>
            <c:ext xmlns:c16="http://schemas.microsoft.com/office/drawing/2014/chart" uri="{C3380CC4-5D6E-409C-BE32-E72D297353CC}">
              <c16:uniqueId val="{00000000-CB5F-4FA2-ABC8-83923114F2EF}"/>
            </c:ext>
          </c:extLst>
        </c:ser>
        <c:dLbls>
          <c:showLegendKey val="0"/>
          <c:showVal val="0"/>
          <c:showCatName val="0"/>
          <c:showSerName val="0"/>
          <c:showPercent val="0"/>
          <c:showBubbleSize val="0"/>
        </c:dLbls>
        <c:gapWidth val="150"/>
        <c:shape val="box"/>
        <c:axId val="2089626527"/>
        <c:axId val="2089614047"/>
        <c:axId val="0"/>
      </c:bar3DChart>
      <c:catAx>
        <c:axId val="2089626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14047"/>
        <c:crosses val="autoZero"/>
        <c:auto val="1"/>
        <c:lblAlgn val="ctr"/>
        <c:lblOffset val="100"/>
        <c:noMultiLvlLbl val="0"/>
      </c:catAx>
      <c:valAx>
        <c:axId val="208961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2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(Recovered).xlsx]Sheet1!PivotTable2</c:name>
    <c:fmtId val="2"/>
  </c:pivotSource>
  <c:chart>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Sheet1!$B$3</c:f>
              <c:strCache>
                <c:ptCount val="1"/>
                <c:pt idx="0">
                  <c:v>Sum of in_deezer_playlists</c:v>
                </c:pt>
              </c:strCache>
            </c:strRef>
          </c:tx>
          <c:spPr>
            <a:ln w="28575" cap="rnd">
              <a:solidFill>
                <a:schemeClr val="accent6">
                  <a:tint val="65000"/>
                </a:schemeClr>
              </a:solidFill>
              <a:round/>
            </a:ln>
            <a:effectLst/>
          </c:spPr>
          <c:marker>
            <c:symbol val="circle"/>
            <c:size val="5"/>
            <c:spPr>
              <a:solidFill>
                <a:schemeClr val="accent6">
                  <a:tint val="65000"/>
                </a:schemeClr>
              </a:solidFill>
              <a:ln w="9525">
                <a:solidFill>
                  <a:schemeClr val="accent6">
                    <a:tint val="65000"/>
                  </a:schemeClr>
                </a:solidFill>
              </a:ln>
              <a:effectLst/>
            </c:spPr>
          </c:marker>
          <c:cat>
            <c:strRef>
              <c:f>Sheet1!$A$4:$A$8</c:f>
              <c:strCache>
                <c:ptCount val="4"/>
                <c:pt idx="0">
                  <c:v>0</c:v>
                </c:pt>
                <c:pt idx="1">
                  <c:v>2</c:v>
                </c:pt>
                <c:pt idx="2">
                  <c:v>17</c:v>
                </c:pt>
                <c:pt idx="3">
                  <c:v>63</c:v>
                </c:pt>
              </c:strCache>
            </c:strRef>
          </c:cat>
          <c:val>
            <c:numRef>
              <c:f>Sheet1!$B$4:$B$8</c:f>
              <c:numCache>
                <c:formatCode>General</c:formatCode>
                <c:ptCount val="4"/>
                <c:pt idx="0">
                  <c:v>9461</c:v>
                </c:pt>
                <c:pt idx="1">
                  <c:v>582</c:v>
                </c:pt>
                <c:pt idx="2">
                  <c:v>161</c:v>
                </c:pt>
                <c:pt idx="3">
                  <c:v>87</c:v>
                </c:pt>
              </c:numCache>
            </c:numRef>
          </c:val>
          <c:smooth val="0"/>
          <c:extLst>
            <c:ext xmlns:c16="http://schemas.microsoft.com/office/drawing/2014/chart" uri="{C3380CC4-5D6E-409C-BE32-E72D297353CC}">
              <c16:uniqueId val="{00000000-78CF-4FAB-B3DC-DF609522DDBC}"/>
            </c:ext>
          </c:extLst>
        </c:ser>
        <c:ser>
          <c:idx val="1"/>
          <c:order val="1"/>
          <c:tx>
            <c:strRef>
              <c:f>Sheet1!$C$3</c:f>
              <c:strCache>
                <c:ptCount val="1"/>
                <c:pt idx="0">
                  <c:v>Sum of in_deezer_charts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Sheet1!$A$4:$A$8</c:f>
              <c:strCache>
                <c:ptCount val="4"/>
                <c:pt idx="0">
                  <c:v>0</c:v>
                </c:pt>
                <c:pt idx="1">
                  <c:v>2</c:v>
                </c:pt>
                <c:pt idx="2">
                  <c:v>17</c:v>
                </c:pt>
                <c:pt idx="3">
                  <c:v>63</c:v>
                </c:pt>
              </c:strCache>
            </c:strRef>
          </c:cat>
          <c:val>
            <c:numRef>
              <c:f>Sheet1!$C$4:$C$8</c:f>
              <c:numCache>
                <c:formatCode>General</c:formatCode>
                <c:ptCount val="4"/>
                <c:pt idx="0">
                  <c:v>629</c:v>
                </c:pt>
                <c:pt idx="1">
                  <c:v>2</c:v>
                </c:pt>
                <c:pt idx="2">
                  <c:v>12</c:v>
                </c:pt>
                <c:pt idx="3">
                  <c:v>15</c:v>
                </c:pt>
              </c:numCache>
            </c:numRef>
          </c:val>
          <c:smooth val="0"/>
          <c:extLst>
            <c:ext xmlns:c16="http://schemas.microsoft.com/office/drawing/2014/chart" uri="{C3380CC4-5D6E-409C-BE32-E72D297353CC}">
              <c16:uniqueId val="{00000001-78CF-4FAB-B3DC-DF609522DDBC}"/>
            </c:ext>
          </c:extLst>
        </c:ser>
        <c:ser>
          <c:idx val="2"/>
          <c:order val="2"/>
          <c:tx>
            <c:strRef>
              <c:f>Sheet1!$D$3</c:f>
              <c:strCache>
                <c:ptCount val="1"/>
                <c:pt idx="0">
                  <c:v>Sum of in_shazam_charts</c:v>
                </c:pt>
              </c:strCache>
            </c:strRef>
          </c:tx>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cat>
            <c:strRef>
              <c:f>Sheet1!$A$4:$A$8</c:f>
              <c:strCache>
                <c:ptCount val="4"/>
                <c:pt idx="0">
                  <c:v>0</c:v>
                </c:pt>
                <c:pt idx="1">
                  <c:v>2</c:v>
                </c:pt>
                <c:pt idx="2">
                  <c:v>17</c:v>
                </c:pt>
                <c:pt idx="3">
                  <c:v>63</c:v>
                </c:pt>
              </c:strCache>
            </c:strRef>
          </c:cat>
          <c:val>
            <c:numRef>
              <c:f>Sheet1!$D$4:$D$8</c:f>
              <c:numCache>
                <c:formatCode>General</c:formatCode>
                <c:ptCount val="4"/>
                <c:pt idx="0">
                  <c:v>16823</c:v>
                </c:pt>
                <c:pt idx="1">
                  <c:v>73</c:v>
                </c:pt>
                <c:pt idx="2">
                  <c:v>187</c:v>
                </c:pt>
                <c:pt idx="3">
                  <c:v>425</c:v>
                </c:pt>
              </c:numCache>
            </c:numRef>
          </c:val>
          <c:smooth val="0"/>
          <c:extLst>
            <c:ext xmlns:c16="http://schemas.microsoft.com/office/drawing/2014/chart" uri="{C3380CC4-5D6E-409C-BE32-E72D297353CC}">
              <c16:uniqueId val="{00000002-78CF-4FAB-B3DC-DF609522DDBC}"/>
            </c:ext>
          </c:extLst>
        </c:ser>
        <c:dLbls>
          <c:showLegendKey val="0"/>
          <c:showVal val="0"/>
          <c:showCatName val="0"/>
          <c:showSerName val="0"/>
          <c:showPercent val="0"/>
          <c:showBubbleSize val="0"/>
        </c:dLbls>
        <c:marker val="1"/>
        <c:smooth val="0"/>
        <c:axId val="110501407"/>
        <c:axId val="110518207"/>
      </c:lineChart>
      <c:catAx>
        <c:axId val="11050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18207"/>
        <c:crosses val="autoZero"/>
        <c:auto val="1"/>
        <c:lblAlgn val="ctr"/>
        <c:lblOffset val="100"/>
        <c:noMultiLvlLbl val="0"/>
      </c:catAx>
      <c:valAx>
        <c:axId val="110518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(Recovered).xlsx]Sheet2!PivotTable4</c:name>
    <c:fmtId val="2"/>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tint val="58000"/>
            </a:schemeClr>
          </a:solidFill>
          <a:ln w="19050">
            <a:solidFill>
              <a:schemeClr val="lt1"/>
            </a:solidFill>
          </a:ln>
          <a:effectLst/>
        </c:spPr>
      </c:pivotFmt>
      <c:pivotFmt>
        <c:idx val="32"/>
        <c:spPr>
          <a:solidFill>
            <a:schemeClr val="accent6">
              <a:tint val="86000"/>
            </a:schemeClr>
          </a:solidFill>
          <a:ln w="19050">
            <a:solidFill>
              <a:schemeClr val="lt1"/>
            </a:solidFill>
          </a:ln>
          <a:effectLst/>
        </c:spPr>
      </c:pivotFmt>
      <c:pivotFmt>
        <c:idx val="33"/>
        <c:spPr>
          <a:solidFill>
            <a:schemeClr val="accent6">
              <a:shade val="86000"/>
            </a:schemeClr>
          </a:solidFill>
          <a:ln w="19050">
            <a:solidFill>
              <a:schemeClr val="lt1"/>
            </a:solidFill>
          </a:ln>
          <a:effectLst/>
        </c:spPr>
      </c:pivotFmt>
      <c:pivotFmt>
        <c:idx val="34"/>
        <c:spPr>
          <a:solidFill>
            <a:schemeClr val="accent6">
              <a:shade val="58000"/>
            </a:schemeClr>
          </a:solidFill>
          <a:ln w="19050">
            <a:solidFill>
              <a:schemeClr val="lt1"/>
            </a:solidFill>
          </a:ln>
          <a:effectLst/>
        </c:spPr>
      </c:pivotFmt>
      <c:pivotFmt>
        <c:idx val="3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tint val="58000"/>
            </a:schemeClr>
          </a:solidFill>
          <a:ln w="19050">
            <a:solidFill>
              <a:schemeClr val="lt1"/>
            </a:solidFill>
          </a:ln>
          <a:effectLst/>
        </c:spPr>
      </c:pivotFmt>
      <c:pivotFmt>
        <c:idx val="37"/>
        <c:spPr>
          <a:solidFill>
            <a:schemeClr val="accent6">
              <a:tint val="86000"/>
            </a:schemeClr>
          </a:solidFill>
          <a:ln w="19050">
            <a:solidFill>
              <a:schemeClr val="lt1"/>
            </a:solidFill>
          </a:ln>
          <a:effectLst/>
        </c:spPr>
      </c:pivotFmt>
      <c:pivotFmt>
        <c:idx val="38"/>
        <c:spPr>
          <a:solidFill>
            <a:schemeClr val="accent6">
              <a:shade val="86000"/>
            </a:schemeClr>
          </a:solidFill>
          <a:ln w="19050">
            <a:solidFill>
              <a:schemeClr val="lt1"/>
            </a:solidFill>
          </a:ln>
          <a:effectLst/>
        </c:spPr>
      </c:pivotFmt>
      <c:pivotFmt>
        <c:idx val="39"/>
        <c:spPr>
          <a:solidFill>
            <a:schemeClr val="accent6">
              <a:shade val="58000"/>
            </a:schemeClr>
          </a:solidFill>
          <a:ln w="19050">
            <a:solidFill>
              <a:schemeClr val="lt1"/>
            </a:solidFill>
          </a:ln>
          <a:effectLst/>
        </c:spPr>
      </c:pivotFmt>
      <c:pivotFmt>
        <c:idx val="4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tint val="58000"/>
            </a:schemeClr>
          </a:solidFill>
          <a:ln w="19050">
            <a:solidFill>
              <a:schemeClr val="lt1"/>
            </a:solidFill>
          </a:ln>
          <a:effectLst/>
        </c:spPr>
      </c:pivotFmt>
      <c:pivotFmt>
        <c:idx val="42"/>
        <c:spPr>
          <a:solidFill>
            <a:schemeClr val="accent6">
              <a:tint val="86000"/>
            </a:schemeClr>
          </a:solidFill>
          <a:ln w="19050">
            <a:solidFill>
              <a:schemeClr val="lt1"/>
            </a:solidFill>
          </a:ln>
          <a:effectLst/>
        </c:spPr>
      </c:pivotFmt>
      <c:pivotFmt>
        <c:idx val="43"/>
        <c:spPr>
          <a:solidFill>
            <a:schemeClr val="accent6">
              <a:shade val="86000"/>
            </a:schemeClr>
          </a:solidFill>
          <a:ln w="19050">
            <a:solidFill>
              <a:schemeClr val="lt1"/>
            </a:solidFill>
          </a:ln>
          <a:effectLst/>
        </c:spPr>
      </c:pivotFmt>
      <c:pivotFmt>
        <c:idx val="44"/>
        <c:spPr>
          <a:solidFill>
            <a:schemeClr val="accent6">
              <a:shade val="58000"/>
            </a:schemeClr>
          </a:solidFill>
          <a:ln w="19050">
            <a:solidFill>
              <a:schemeClr val="lt1"/>
            </a:solidFill>
          </a:ln>
          <a:effectLst/>
        </c:spPr>
      </c:pivotFmt>
    </c:pivotFmts>
    <c:plotArea>
      <c:layout/>
      <c:ofPieChart>
        <c:ofPieType val="pie"/>
        <c:varyColors val="1"/>
        <c:ser>
          <c:idx val="0"/>
          <c:order val="0"/>
          <c:tx>
            <c:strRef>
              <c:f>Sheet2!$B$3</c:f>
              <c:strCache>
                <c:ptCount val="1"/>
                <c:pt idx="0">
                  <c:v>Sum of in_apple_charts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7AFA-495E-B156-8A2CE344E63A}"/>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7AFA-495E-B156-8A2CE344E63A}"/>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7AFA-495E-B156-8A2CE344E63A}"/>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7AFA-495E-B156-8A2CE344E63A}"/>
              </c:ext>
            </c:extLst>
          </c:dPt>
          <c:dPt>
            <c:idx val="4"/>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9-7AFA-495E-B156-8A2CE344E63A}"/>
              </c:ext>
            </c:extLst>
          </c:dPt>
          <c:cat>
            <c:strRef>
              <c:f>Sheet2!$A$4:$A$8</c:f>
              <c:strCache>
                <c:ptCount val="4"/>
                <c:pt idx="0">
                  <c:v>1</c:v>
                </c:pt>
                <c:pt idx="1">
                  <c:v>2</c:v>
                </c:pt>
                <c:pt idx="2">
                  <c:v>3</c:v>
                </c:pt>
                <c:pt idx="3">
                  <c:v>8</c:v>
                </c:pt>
              </c:strCache>
            </c:strRef>
          </c:cat>
          <c:val>
            <c:numRef>
              <c:f>Sheet2!$B$4:$B$8</c:f>
              <c:numCache>
                <c:formatCode>General</c:formatCode>
                <c:ptCount val="4"/>
                <c:pt idx="0">
                  <c:v>3787</c:v>
                </c:pt>
                <c:pt idx="1">
                  <c:v>2454</c:v>
                </c:pt>
                <c:pt idx="2">
                  <c:v>697</c:v>
                </c:pt>
                <c:pt idx="3">
                  <c:v>33</c:v>
                </c:pt>
              </c:numCache>
            </c:numRef>
          </c:val>
          <c:extLst>
            <c:ext xmlns:c16="http://schemas.microsoft.com/office/drawing/2014/chart" uri="{C3380CC4-5D6E-409C-BE32-E72D297353CC}">
              <c16:uniqueId val="{0000000A-7AFA-495E-B156-8A2CE344E63A}"/>
            </c:ext>
          </c:extLst>
        </c:ser>
        <c:ser>
          <c:idx val="1"/>
          <c:order val="1"/>
          <c:tx>
            <c:strRef>
              <c:f>Sheet2!$C$3</c:f>
              <c:strCache>
                <c:ptCount val="1"/>
                <c:pt idx="0">
                  <c:v>Sum of in_deezer_playlists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C-7AFA-495E-B156-8A2CE344E63A}"/>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E-7AFA-495E-B156-8A2CE344E63A}"/>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10-7AFA-495E-B156-8A2CE344E63A}"/>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2-7AFA-495E-B156-8A2CE344E63A}"/>
              </c:ext>
            </c:extLst>
          </c:dPt>
          <c:dPt>
            <c:idx val="4"/>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4-7AFA-495E-B156-8A2CE344E63A}"/>
              </c:ext>
            </c:extLst>
          </c:dPt>
          <c:cat>
            <c:strRef>
              <c:f>Sheet2!$A$4:$A$8</c:f>
              <c:strCache>
                <c:ptCount val="4"/>
                <c:pt idx="0">
                  <c:v>1</c:v>
                </c:pt>
                <c:pt idx="1">
                  <c:v>2</c:v>
                </c:pt>
                <c:pt idx="2">
                  <c:v>3</c:v>
                </c:pt>
                <c:pt idx="3">
                  <c:v>8</c:v>
                </c:pt>
              </c:strCache>
            </c:strRef>
          </c:cat>
          <c:val>
            <c:numRef>
              <c:f>Sheet2!$C$4:$C$8</c:f>
              <c:numCache>
                <c:formatCode>General</c:formatCode>
                <c:ptCount val="4"/>
                <c:pt idx="0">
                  <c:v>4810</c:v>
                </c:pt>
                <c:pt idx="1">
                  <c:v>4793</c:v>
                </c:pt>
                <c:pt idx="2">
                  <c:v>654</c:v>
                </c:pt>
                <c:pt idx="3">
                  <c:v>34</c:v>
                </c:pt>
              </c:numCache>
            </c:numRef>
          </c:val>
          <c:extLst>
            <c:ext xmlns:c16="http://schemas.microsoft.com/office/drawing/2014/chart" uri="{C3380CC4-5D6E-409C-BE32-E72D297353CC}">
              <c16:uniqueId val="{00000015-7AFA-495E-B156-8A2CE344E63A}"/>
            </c:ext>
          </c:extLst>
        </c:ser>
        <c:ser>
          <c:idx val="2"/>
          <c:order val="2"/>
          <c:tx>
            <c:strRef>
              <c:f>Sheet2!$D$3</c:f>
              <c:strCache>
                <c:ptCount val="1"/>
                <c:pt idx="0">
                  <c:v>Sum of in_deezer_charts</c:v>
                </c:pt>
              </c:strCache>
            </c:strRef>
          </c:tx>
          <c:dPt>
            <c:idx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17-7AFA-495E-B156-8A2CE344E63A}"/>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19-7AFA-495E-B156-8A2CE344E63A}"/>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1B-7AFA-495E-B156-8A2CE344E63A}"/>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D-7AFA-495E-B156-8A2CE344E63A}"/>
              </c:ext>
            </c:extLst>
          </c:dPt>
          <c:dPt>
            <c:idx val="4"/>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1F-7AFA-495E-B156-8A2CE344E63A}"/>
              </c:ext>
            </c:extLst>
          </c:dPt>
          <c:cat>
            <c:strRef>
              <c:f>Sheet2!$A$4:$A$8</c:f>
              <c:strCache>
                <c:ptCount val="4"/>
                <c:pt idx="0">
                  <c:v>1</c:v>
                </c:pt>
                <c:pt idx="1">
                  <c:v>2</c:v>
                </c:pt>
                <c:pt idx="2">
                  <c:v>3</c:v>
                </c:pt>
                <c:pt idx="3">
                  <c:v>8</c:v>
                </c:pt>
              </c:strCache>
            </c:strRef>
          </c:cat>
          <c:val>
            <c:numRef>
              <c:f>Sheet2!$D$4:$D$8</c:f>
              <c:numCache>
                <c:formatCode>General</c:formatCode>
                <c:ptCount val="4"/>
                <c:pt idx="0">
                  <c:v>363</c:v>
                </c:pt>
                <c:pt idx="1">
                  <c:v>230</c:v>
                </c:pt>
                <c:pt idx="2">
                  <c:v>58</c:v>
                </c:pt>
                <c:pt idx="3">
                  <c:v>7</c:v>
                </c:pt>
              </c:numCache>
            </c:numRef>
          </c:val>
          <c:extLst>
            <c:ext xmlns:c16="http://schemas.microsoft.com/office/drawing/2014/chart" uri="{C3380CC4-5D6E-409C-BE32-E72D297353CC}">
              <c16:uniqueId val="{00000020-7AFA-495E-B156-8A2CE344E63A}"/>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(Recovered).xlsx]Sheet4!PivotTable1</c:name>
    <c:fmtId val="3"/>
  </c:pivotSource>
  <c:chart>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
        <c:idx val="65"/>
        <c:spPr>
          <a:solidFill>
            <a:schemeClr val="accent6"/>
          </a:solidFill>
          <a:ln w="19050">
            <a:solidFill>
              <a:schemeClr val="lt1"/>
            </a:solidFill>
          </a:ln>
          <a:effectLst/>
        </c:spPr>
      </c:pivotFmt>
      <c:pivotFmt>
        <c:idx val="66"/>
        <c:spPr>
          <a:solidFill>
            <a:schemeClr val="accent6"/>
          </a:solidFill>
          <a:ln w="19050">
            <a:solidFill>
              <a:schemeClr val="lt1"/>
            </a:solidFill>
          </a:ln>
          <a:effectLst/>
        </c:spPr>
      </c:pivotFmt>
      <c:pivotFmt>
        <c:idx val="67"/>
        <c:spPr>
          <a:solidFill>
            <a:schemeClr val="accent6"/>
          </a:solidFill>
          <a:ln w="19050">
            <a:solidFill>
              <a:schemeClr val="lt1"/>
            </a:solidFill>
          </a:ln>
          <a:effectLst/>
        </c:spPr>
      </c:pivotFmt>
      <c:pivotFmt>
        <c:idx val="68"/>
        <c:spPr>
          <a:solidFill>
            <a:schemeClr val="accent6"/>
          </a:solidFill>
          <a:ln w="19050">
            <a:solidFill>
              <a:schemeClr val="lt1"/>
            </a:solidFill>
          </a:ln>
          <a:effectLst/>
        </c:spPr>
      </c:pivotFmt>
      <c:pivotFmt>
        <c:idx val="69"/>
        <c:spPr>
          <a:solidFill>
            <a:schemeClr val="accent6"/>
          </a:solidFill>
          <a:ln w="19050">
            <a:solidFill>
              <a:schemeClr val="lt1"/>
            </a:solidFill>
          </a:ln>
          <a:effectLst/>
        </c:spPr>
      </c:pivotFmt>
      <c:pivotFmt>
        <c:idx val="70"/>
        <c:spPr>
          <a:solidFill>
            <a:schemeClr val="accent6"/>
          </a:solidFill>
          <a:ln w="19050">
            <a:solidFill>
              <a:schemeClr val="lt1"/>
            </a:solidFill>
          </a:ln>
          <a:effectLst/>
        </c:spPr>
      </c:pivotFmt>
      <c:pivotFmt>
        <c:idx val="71"/>
        <c:spPr>
          <a:solidFill>
            <a:schemeClr val="accent6"/>
          </a:solidFill>
          <a:ln w="19050">
            <a:solidFill>
              <a:schemeClr val="lt1"/>
            </a:solidFill>
          </a:ln>
          <a:effectLst/>
        </c:spPr>
      </c:pivotFmt>
      <c:pivotFmt>
        <c:idx val="72"/>
        <c:spPr>
          <a:solidFill>
            <a:schemeClr val="accent6"/>
          </a:solidFill>
          <a:ln w="19050">
            <a:solidFill>
              <a:schemeClr val="lt1"/>
            </a:solidFill>
          </a:ln>
          <a:effectLst/>
        </c:spPr>
      </c:pivotFmt>
      <c:pivotFmt>
        <c:idx val="73"/>
        <c:spPr>
          <a:solidFill>
            <a:schemeClr val="accent6"/>
          </a:solidFill>
          <a:ln w="19050">
            <a:solidFill>
              <a:schemeClr val="lt1"/>
            </a:solidFill>
          </a:ln>
          <a:effectLst/>
        </c:spPr>
      </c:pivotFmt>
      <c:pivotFmt>
        <c:idx val="74"/>
        <c:spPr>
          <a:solidFill>
            <a:schemeClr val="accent6"/>
          </a:solidFill>
          <a:ln w="19050">
            <a:solidFill>
              <a:schemeClr val="lt1"/>
            </a:solidFill>
          </a:ln>
          <a:effectLst/>
        </c:spPr>
      </c:pivotFmt>
      <c:pivotFmt>
        <c:idx val="75"/>
        <c:spPr>
          <a:solidFill>
            <a:schemeClr val="accent6"/>
          </a:solidFill>
          <a:ln w="19050">
            <a:solidFill>
              <a:schemeClr val="lt1"/>
            </a:solidFill>
          </a:ln>
          <a:effectLst/>
        </c:spPr>
      </c:pivotFmt>
      <c:pivotFmt>
        <c:idx val="76"/>
        <c:spPr>
          <a:solidFill>
            <a:schemeClr val="accent6"/>
          </a:solidFill>
          <a:ln w="19050">
            <a:solidFill>
              <a:schemeClr val="lt1"/>
            </a:solidFill>
          </a:ln>
          <a:effectLst/>
        </c:spPr>
      </c:pivotFmt>
      <c:pivotFmt>
        <c:idx val="77"/>
        <c:spPr>
          <a:solidFill>
            <a:schemeClr val="accent6"/>
          </a:solidFill>
          <a:ln w="19050">
            <a:solidFill>
              <a:schemeClr val="lt1"/>
            </a:solidFill>
          </a:ln>
          <a:effectLst/>
        </c:spPr>
      </c:pivotFmt>
      <c:pivotFmt>
        <c:idx val="78"/>
        <c:spPr>
          <a:solidFill>
            <a:schemeClr val="accent6"/>
          </a:solidFill>
          <a:ln w="19050">
            <a:solidFill>
              <a:schemeClr val="lt1"/>
            </a:solidFill>
          </a:ln>
          <a:effectLst/>
        </c:spPr>
      </c:pivotFmt>
      <c:pivotFmt>
        <c:idx val="79"/>
        <c:spPr>
          <a:solidFill>
            <a:schemeClr val="accent6"/>
          </a:solidFill>
          <a:ln w="19050">
            <a:solidFill>
              <a:schemeClr val="lt1"/>
            </a:solidFill>
          </a:ln>
          <a:effectLst/>
        </c:spPr>
      </c:pivotFmt>
      <c:pivotFmt>
        <c:idx val="80"/>
        <c:spPr>
          <a:solidFill>
            <a:schemeClr val="accent6"/>
          </a:solidFill>
          <a:ln w="19050">
            <a:solidFill>
              <a:schemeClr val="lt1"/>
            </a:solidFill>
          </a:ln>
          <a:effectLst/>
        </c:spPr>
      </c:pivotFmt>
      <c:pivotFmt>
        <c:idx val="81"/>
        <c:spPr>
          <a:solidFill>
            <a:schemeClr val="accent6"/>
          </a:solidFill>
          <a:ln w="19050">
            <a:solidFill>
              <a:schemeClr val="lt1"/>
            </a:solidFill>
          </a:ln>
          <a:effectLst/>
        </c:spPr>
      </c:pivotFmt>
      <c:pivotFmt>
        <c:idx val="82"/>
        <c:spPr>
          <a:solidFill>
            <a:schemeClr val="accent6"/>
          </a:solidFill>
          <a:ln w="19050">
            <a:solidFill>
              <a:schemeClr val="lt1"/>
            </a:solidFill>
          </a:ln>
          <a:effectLst/>
        </c:spPr>
      </c:pivotFmt>
      <c:pivotFmt>
        <c:idx val="83"/>
        <c:spPr>
          <a:solidFill>
            <a:schemeClr val="accent6"/>
          </a:solidFill>
          <a:ln w="19050">
            <a:solidFill>
              <a:schemeClr val="lt1"/>
            </a:solidFill>
          </a:ln>
          <a:effectLst/>
        </c:spPr>
      </c:pivotFmt>
      <c:pivotFmt>
        <c:idx val="84"/>
        <c:spPr>
          <a:solidFill>
            <a:schemeClr val="accent6"/>
          </a:solidFill>
          <a:ln w="19050">
            <a:solidFill>
              <a:schemeClr val="lt1"/>
            </a:solidFill>
          </a:ln>
          <a:effectLst/>
        </c:spPr>
      </c:pivotFmt>
      <c:pivotFmt>
        <c:idx val="85"/>
        <c:spPr>
          <a:solidFill>
            <a:schemeClr val="accent6"/>
          </a:solidFill>
          <a:ln w="19050">
            <a:solidFill>
              <a:schemeClr val="lt1"/>
            </a:solidFill>
          </a:ln>
          <a:effectLst/>
        </c:spPr>
      </c:pivotFmt>
      <c:pivotFmt>
        <c:idx val="86"/>
        <c:spPr>
          <a:solidFill>
            <a:schemeClr val="accent6"/>
          </a:solidFill>
          <a:ln w="19050">
            <a:solidFill>
              <a:schemeClr val="lt1"/>
            </a:solidFill>
          </a:ln>
          <a:effectLst/>
        </c:spPr>
      </c:pivotFmt>
      <c:pivotFmt>
        <c:idx val="87"/>
        <c:spPr>
          <a:solidFill>
            <a:schemeClr val="accent6"/>
          </a:solidFill>
          <a:ln w="19050">
            <a:solidFill>
              <a:schemeClr val="lt1"/>
            </a:solidFill>
          </a:ln>
          <a:effectLst/>
        </c:spPr>
      </c:pivotFmt>
      <c:pivotFmt>
        <c:idx val="88"/>
        <c:spPr>
          <a:solidFill>
            <a:schemeClr val="accent6"/>
          </a:solidFill>
          <a:ln w="19050">
            <a:solidFill>
              <a:schemeClr val="lt1"/>
            </a:solidFill>
          </a:ln>
          <a:effectLst/>
        </c:spPr>
      </c:pivotFmt>
      <c:pivotFmt>
        <c:idx val="89"/>
        <c:spPr>
          <a:solidFill>
            <a:schemeClr val="accent6"/>
          </a:solidFill>
          <a:ln w="19050">
            <a:solidFill>
              <a:schemeClr val="lt1"/>
            </a:solidFill>
          </a:ln>
          <a:effectLst/>
        </c:spPr>
      </c:pivotFmt>
      <c:pivotFmt>
        <c:idx val="90"/>
        <c:spPr>
          <a:solidFill>
            <a:schemeClr val="accent6"/>
          </a:solidFill>
          <a:ln w="19050">
            <a:solidFill>
              <a:schemeClr val="lt1"/>
            </a:solidFill>
          </a:ln>
          <a:effectLst/>
        </c:spPr>
      </c:pivotFmt>
      <c:pivotFmt>
        <c:idx val="91"/>
        <c:spPr>
          <a:solidFill>
            <a:schemeClr val="accent6"/>
          </a:solidFill>
          <a:ln w="19050">
            <a:solidFill>
              <a:schemeClr val="lt1"/>
            </a:solidFill>
          </a:ln>
          <a:effectLst/>
        </c:spPr>
      </c:pivotFmt>
      <c:pivotFmt>
        <c:idx val="92"/>
        <c:spPr>
          <a:solidFill>
            <a:schemeClr val="accent6"/>
          </a:solidFill>
          <a:ln w="19050">
            <a:solidFill>
              <a:schemeClr val="lt1"/>
            </a:solidFill>
          </a:ln>
          <a:effectLst/>
        </c:spPr>
      </c:pivotFmt>
      <c:pivotFmt>
        <c:idx val="93"/>
        <c:spPr>
          <a:solidFill>
            <a:schemeClr val="accent6"/>
          </a:solidFill>
          <a:ln w="19050">
            <a:solidFill>
              <a:schemeClr val="lt1"/>
            </a:solidFill>
          </a:ln>
          <a:effectLst/>
        </c:spPr>
      </c:pivotFmt>
      <c:pivotFmt>
        <c:idx val="94"/>
        <c:spPr>
          <a:solidFill>
            <a:schemeClr val="accent6"/>
          </a:solidFill>
          <a:ln w="19050">
            <a:solidFill>
              <a:schemeClr val="lt1"/>
            </a:solidFill>
          </a:ln>
          <a:effectLst/>
        </c:spPr>
      </c:pivotFmt>
      <c:pivotFmt>
        <c:idx val="95"/>
        <c:spPr>
          <a:solidFill>
            <a:schemeClr val="accent6"/>
          </a:solidFill>
          <a:ln w="19050">
            <a:solidFill>
              <a:schemeClr val="lt1"/>
            </a:solidFill>
          </a:ln>
          <a:effectLst/>
        </c:spPr>
      </c:pivotFmt>
      <c:pivotFmt>
        <c:idx val="96"/>
        <c:spPr>
          <a:solidFill>
            <a:schemeClr val="accent6"/>
          </a:solidFill>
          <a:ln w="19050">
            <a:solidFill>
              <a:schemeClr val="lt1"/>
            </a:solidFill>
          </a:ln>
          <a:effectLst/>
        </c:spPr>
      </c:pivotFmt>
      <c:pivotFmt>
        <c:idx val="97"/>
        <c:spPr>
          <a:solidFill>
            <a:schemeClr val="accent6"/>
          </a:solidFill>
          <a:ln w="19050">
            <a:solidFill>
              <a:schemeClr val="lt1"/>
            </a:solidFill>
          </a:ln>
          <a:effectLst/>
        </c:spPr>
      </c:pivotFmt>
      <c:pivotFmt>
        <c:idx val="98"/>
        <c:spPr>
          <a:solidFill>
            <a:schemeClr val="accent6"/>
          </a:solidFill>
          <a:ln w="19050">
            <a:solidFill>
              <a:schemeClr val="lt1"/>
            </a:solidFill>
          </a:ln>
          <a:effectLst/>
        </c:spPr>
      </c:pivotFmt>
      <c:pivotFmt>
        <c:idx val="99"/>
        <c:spPr>
          <a:solidFill>
            <a:schemeClr val="accent6"/>
          </a:solidFill>
          <a:ln w="19050">
            <a:solidFill>
              <a:schemeClr val="lt1"/>
            </a:solidFill>
          </a:ln>
          <a:effectLst/>
        </c:spPr>
      </c:pivotFmt>
      <c:pivotFmt>
        <c:idx val="100"/>
        <c:spPr>
          <a:solidFill>
            <a:schemeClr val="accent6"/>
          </a:solidFill>
          <a:ln w="19050">
            <a:solidFill>
              <a:schemeClr val="lt1"/>
            </a:solidFill>
          </a:ln>
          <a:effectLst/>
        </c:spPr>
      </c:pivotFmt>
      <c:pivotFmt>
        <c:idx val="101"/>
        <c:spPr>
          <a:solidFill>
            <a:schemeClr val="accent6"/>
          </a:solidFill>
          <a:ln w="19050">
            <a:solidFill>
              <a:schemeClr val="lt1"/>
            </a:solidFill>
          </a:ln>
          <a:effectLst/>
        </c:spPr>
      </c:pivotFmt>
      <c:pivotFmt>
        <c:idx val="10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6"/>
          </a:solidFill>
          <a:ln w="19050">
            <a:solidFill>
              <a:schemeClr val="lt1"/>
            </a:solidFill>
          </a:ln>
          <a:effectLst/>
        </c:spPr>
      </c:pivotFmt>
      <c:pivotFmt>
        <c:idx val="104"/>
        <c:spPr>
          <a:solidFill>
            <a:schemeClr val="accent6"/>
          </a:solidFill>
          <a:ln w="19050">
            <a:solidFill>
              <a:schemeClr val="lt1"/>
            </a:solidFill>
          </a:ln>
          <a:effectLst/>
        </c:spPr>
      </c:pivotFmt>
      <c:pivotFmt>
        <c:idx val="105"/>
        <c:spPr>
          <a:solidFill>
            <a:schemeClr val="accent6"/>
          </a:solidFill>
          <a:ln w="19050">
            <a:solidFill>
              <a:schemeClr val="lt1"/>
            </a:solidFill>
          </a:ln>
          <a:effectLst/>
        </c:spPr>
      </c:pivotFmt>
      <c:pivotFmt>
        <c:idx val="106"/>
        <c:spPr>
          <a:solidFill>
            <a:schemeClr val="accent6"/>
          </a:solidFill>
          <a:ln w="19050">
            <a:solidFill>
              <a:schemeClr val="lt1"/>
            </a:solidFill>
          </a:ln>
          <a:effectLst/>
        </c:spPr>
      </c:pivotFmt>
      <c:pivotFmt>
        <c:idx val="107"/>
        <c:spPr>
          <a:solidFill>
            <a:schemeClr val="accent6"/>
          </a:solidFill>
          <a:ln w="19050">
            <a:solidFill>
              <a:schemeClr val="lt1"/>
            </a:solidFill>
          </a:ln>
          <a:effectLst/>
        </c:spPr>
      </c:pivotFmt>
      <c:pivotFmt>
        <c:idx val="108"/>
        <c:spPr>
          <a:solidFill>
            <a:schemeClr val="accent6"/>
          </a:solidFill>
          <a:ln w="19050">
            <a:solidFill>
              <a:schemeClr val="lt1"/>
            </a:solidFill>
          </a:ln>
          <a:effectLst/>
        </c:spPr>
      </c:pivotFmt>
      <c:pivotFmt>
        <c:idx val="109"/>
        <c:spPr>
          <a:solidFill>
            <a:schemeClr val="accent6"/>
          </a:solidFill>
          <a:ln w="19050">
            <a:solidFill>
              <a:schemeClr val="lt1"/>
            </a:solidFill>
          </a:ln>
          <a:effectLst/>
        </c:spPr>
      </c:pivotFmt>
      <c:pivotFmt>
        <c:idx val="110"/>
        <c:spPr>
          <a:solidFill>
            <a:schemeClr val="accent6"/>
          </a:solidFill>
          <a:ln w="19050">
            <a:solidFill>
              <a:schemeClr val="lt1"/>
            </a:solidFill>
          </a:ln>
          <a:effectLst/>
        </c:spPr>
      </c:pivotFmt>
      <c:pivotFmt>
        <c:idx val="111"/>
        <c:spPr>
          <a:solidFill>
            <a:schemeClr val="accent6"/>
          </a:solidFill>
          <a:ln w="19050">
            <a:solidFill>
              <a:schemeClr val="lt1"/>
            </a:solidFill>
          </a:ln>
          <a:effectLst/>
        </c:spPr>
      </c:pivotFmt>
      <c:pivotFmt>
        <c:idx val="112"/>
        <c:spPr>
          <a:solidFill>
            <a:schemeClr val="accent6"/>
          </a:solidFill>
          <a:ln w="19050">
            <a:solidFill>
              <a:schemeClr val="lt1"/>
            </a:solidFill>
          </a:ln>
          <a:effectLst/>
        </c:spPr>
      </c:pivotFmt>
      <c:pivotFmt>
        <c:idx val="113"/>
        <c:spPr>
          <a:solidFill>
            <a:schemeClr val="accent6"/>
          </a:solidFill>
          <a:ln w="19050">
            <a:solidFill>
              <a:schemeClr val="lt1"/>
            </a:solidFill>
          </a:ln>
          <a:effectLst/>
        </c:spPr>
      </c:pivotFmt>
      <c:pivotFmt>
        <c:idx val="114"/>
        <c:spPr>
          <a:solidFill>
            <a:schemeClr val="accent6"/>
          </a:solidFill>
          <a:ln w="19050">
            <a:solidFill>
              <a:schemeClr val="lt1"/>
            </a:solidFill>
          </a:ln>
          <a:effectLst/>
        </c:spPr>
      </c:pivotFmt>
      <c:pivotFmt>
        <c:idx val="115"/>
        <c:spPr>
          <a:solidFill>
            <a:schemeClr val="accent6"/>
          </a:solidFill>
          <a:ln w="19050">
            <a:solidFill>
              <a:schemeClr val="lt1"/>
            </a:solidFill>
          </a:ln>
          <a:effectLst/>
        </c:spPr>
      </c:pivotFmt>
      <c:pivotFmt>
        <c:idx val="116"/>
        <c:spPr>
          <a:solidFill>
            <a:schemeClr val="accent6"/>
          </a:solidFill>
          <a:ln w="19050">
            <a:solidFill>
              <a:schemeClr val="lt1"/>
            </a:solidFill>
          </a:ln>
          <a:effectLst/>
        </c:spPr>
      </c:pivotFmt>
      <c:pivotFmt>
        <c:idx val="117"/>
        <c:spPr>
          <a:solidFill>
            <a:schemeClr val="accent6"/>
          </a:solidFill>
          <a:ln w="19050">
            <a:solidFill>
              <a:schemeClr val="lt1"/>
            </a:solidFill>
          </a:ln>
          <a:effectLst/>
        </c:spPr>
      </c:pivotFmt>
      <c:pivotFmt>
        <c:idx val="118"/>
        <c:spPr>
          <a:solidFill>
            <a:schemeClr val="accent6"/>
          </a:solidFill>
          <a:ln w="19050">
            <a:solidFill>
              <a:schemeClr val="lt1"/>
            </a:solidFill>
          </a:ln>
          <a:effectLst/>
        </c:spPr>
      </c:pivotFmt>
      <c:pivotFmt>
        <c:idx val="119"/>
        <c:spPr>
          <a:solidFill>
            <a:schemeClr val="accent6"/>
          </a:solidFill>
          <a:ln w="19050">
            <a:solidFill>
              <a:schemeClr val="lt1"/>
            </a:solidFill>
          </a:ln>
          <a:effectLst/>
        </c:spPr>
      </c:pivotFmt>
      <c:pivotFmt>
        <c:idx val="120"/>
        <c:spPr>
          <a:solidFill>
            <a:schemeClr val="accent6"/>
          </a:solidFill>
          <a:ln w="19050">
            <a:solidFill>
              <a:schemeClr val="lt1"/>
            </a:solidFill>
          </a:ln>
          <a:effectLst/>
        </c:spPr>
      </c:pivotFmt>
      <c:pivotFmt>
        <c:idx val="121"/>
        <c:spPr>
          <a:solidFill>
            <a:schemeClr val="accent6"/>
          </a:solidFill>
          <a:ln w="19050">
            <a:solidFill>
              <a:schemeClr val="lt1"/>
            </a:solidFill>
          </a:ln>
          <a:effectLst/>
        </c:spPr>
      </c:pivotFmt>
      <c:pivotFmt>
        <c:idx val="122"/>
        <c:spPr>
          <a:solidFill>
            <a:schemeClr val="accent6"/>
          </a:solidFill>
          <a:ln w="19050">
            <a:solidFill>
              <a:schemeClr val="lt1"/>
            </a:solidFill>
          </a:ln>
          <a:effectLst/>
        </c:spPr>
      </c:pivotFmt>
      <c:pivotFmt>
        <c:idx val="123"/>
        <c:spPr>
          <a:solidFill>
            <a:schemeClr val="accent6"/>
          </a:solidFill>
          <a:ln w="19050">
            <a:solidFill>
              <a:schemeClr val="lt1"/>
            </a:solidFill>
          </a:ln>
          <a:effectLst/>
        </c:spPr>
      </c:pivotFmt>
      <c:pivotFmt>
        <c:idx val="124"/>
        <c:spPr>
          <a:solidFill>
            <a:schemeClr val="accent6"/>
          </a:solidFill>
          <a:ln w="19050">
            <a:solidFill>
              <a:schemeClr val="lt1"/>
            </a:solidFill>
          </a:ln>
          <a:effectLst/>
        </c:spPr>
      </c:pivotFmt>
      <c:pivotFmt>
        <c:idx val="125"/>
        <c:spPr>
          <a:solidFill>
            <a:schemeClr val="accent6"/>
          </a:solidFill>
          <a:ln w="19050">
            <a:solidFill>
              <a:schemeClr val="lt1"/>
            </a:solidFill>
          </a:ln>
          <a:effectLst/>
        </c:spPr>
      </c:pivotFmt>
      <c:pivotFmt>
        <c:idx val="126"/>
        <c:spPr>
          <a:solidFill>
            <a:schemeClr val="accent6"/>
          </a:solidFill>
          <a:ln w="19050">
            <a:solidFill>
              <a:schemeClr val="lt1"/>
            </a:solidFill>
          </a:ln>
          <a:effectLst/>
        </c:spPr>
      </c:pivotFmt>
      <c:pivotFmt>
        <c:idx val="127"/>
        <c:spPr>
          <a:solidFill>
            <a:schemeClr val="accent6"/>
          </a:solidFill>
          <a:ln w="19050">
            <a:solidFill>
              <a:schemeClr val="lt1"/>
            </a:solidFill>
          </a:ln>
          <a:effectLst/>
        </c:spPr>
      </c:pivotFmt>
      <c:pivotFmt>
        <c:idx val="128"/>
        <c:spPr>
          <a:solidFill>
            <a:schemeClr val="accent6"/>
          </a:solidFill>
          <a:ln w="19050">
            <a:solidFill>
              <a:schemeClr val="lt1"/>
            </a:solidFill>
          </a:ln>
          <a:effectLst/>
        </c:spPr>
      </c:pivotFmt>
      <c:pivotFmt>
        <c:idx val="129"/>
        <c:spPr>
          <a:solidFill>
            <a:schemeClr val="accent6"/>
          </a:solidFill>
          <a:ln w="19050">
            <a:solidFill>
              <a:schemeClr val="lt1"/>
            </a:solidFill>
          </a:ln>
          <a:effectLst/>
        </c:spPr>
      </c:pivotFmt>
      <c:pivotFmt>
        <c:idx val="130"/>
        <c:spPr>
          <a:solidFill>
            <a:schemeClr val="accent6"/>
          </a:solidFill>
          <a:ln w="19050">
            <a:solidFill>
              <a:schemeClr val="lt1"/>
            </a:solidFill>
          </a:ln>
          <a:effectLst/>
        </c:spPr>
      </c:pivotFmt>
      <c:pivotFmt>
        <c:idx val="131"/>
        <c:spPr>
          <a:solidFill>
            <a:schemeClr val="accent6"/>
          </a:solidFill>
          <a:ln w="19050">
            <a:solidFill>
              <a:schemeClr val="lt1"/>
            </a:solidFill>
          </a:ln>
          <a:effectLst/>
        </c:spPr>
      </c:pivotFmt>
      <c:pivotFmt>
        <c:idx val="132"/>
        <c:spPr>
          <a:solidFill>
            <a:schemeClr val="accent6"/>
          </a:solidFill>
          <a:ln w="19050">
            <a:solidFill>
              <a:schemeClr val="lt1"/>
            </a:solidFill>
          </a:ln>
          <a:effectLst/>
        </c:spPr>
      </c:pivotFmt>
      <c:pivotFmt>
        <c:idx val="133"/>
        <c:spPr>
          <a:solidFill>
            <a:schemeClr val="accent6"/>
          </a:solidFill>
          <a:ln w="19050">
            <a:solidFill>
              <a:schemeClr val="lt1"/>
            </a:solidFill>
          </a:ln>
          <a:effectLst/>
        </c:spPr>
      </c:pivotFmt>
      <c:pivotFmt>
        <c:idx val="134"/>
        <c:spPr>
          <a:solidFill>
            <a:schemeClr val="accent6"/>
          </a:solidFill>
          <a:ln w="19050">
            <a:solidFill>
              <a:schemeClr val="lt1"/>
            </a:solidFill>
          </a:ln>
          <a:effectLst/>
        </c:spPr>
      </c:pivotFmt>
      <c:pivotFmt>
        <c:idx val="135"/>
        <c:spPr>
          <a:solidFill>
            <a:schemeClr val="accent6"/>
          </a:solidFill>
          <a:ln w="19050">
            <a:solidFill>
              <a:schemeClr val="lt1"/>
            </a:solidFill>
          </a:ln>
          <a:effectLst/>
        </c:spPr>
      </c:pivotFmt>
      <c:pivotFmt>
        <c:idx val="136"/>
        <c:spPr>
          <a:solidFill>
            <a:schemeClr val="accent6"/>
          </a:solidFill>
          <a:ln w="19050">
            <a:solidFill>
              <a:schemeClr val="lt1"/>
            </a:solidFill>
          </a:ln>
          <a:effectLst/>
        </c:spPr>
      </c:pivotFmt>
      <c:pivotFmt>
        <c:idx val="137"/>
        <c:spPr>
          <a:solidFill>
            <a:schemeClr val="accent6"/>
          </a:solidFill>
          <a:ln w="19050">
            <a:solidFill>
              <a:schemeClr val="lt1"/>
            </a:solidFill>
          </a:ln>
          <a:effectLst/>
        </c:spPr>
      </c:pivotFmt>
      <c:pivotFmt>
        <c:idx val="138"/>
        <c:spPr>
          <a:solidFill>
            <a:schemeClr val="accent6"/>
          </a:solidFill>
          <a:ln w="19050">
            <a:solidFill>
              <a:schemeClr val="lt1"/>
            </a:solidFill>
          </a:ln>
          <a:effectLst/>
        </c:spPr>
      </c:pivotFmt>
      <c:pivotFmt>
        <c:idx val="139"/>
        <c:spPr>
          <a:solidFill>
            <a:schemeClr val="accent6"/>
          </a:solidFill>
          <a:ln w="19050">
            <a:solidFill>
              <a:schemeClr val="lt1"/>
            </a:solidFill>
          </a:ln>
          <a:effectLst/>
        </c:spPr>
      </c:pivotFmt>
      <c:pivotFmt>
        <c:idx val="140"/>
        <c:spPr>
          <a:solidFill>
            <a:schemeClr val="accent6"/>
          </a:solidFill>
          <a:ln w="19050">
            <a:solidFill>
              <a:schemeClr val="lt1"/>
            </a:solidFill>
          </a:ln>
          <a:effectLst/>
        </c:spPr>
      </c:pivotFmt>
      <c:pivotFmt>
        <c:idx val="141"/>
        <c:spPr>
          <a:solidFill>
            <a:schemeClr val="accent6"/>
          </a:solidFill>
          <a:ln w="19050">
            <a:solidFill>
              <a:schemeClr val="lt1"/>
            </a:solidFill>
          </a:ln>
          <a:effectLst/>
        </c:spPr>
      </c:pivotFmt>
      <c:pivotFmt>
        <c:idx val="142"/>
        <c:spPr>
          <a:solidFill>
            <a:schemeClr val="accent6"/>
          </a:solidFill>
          <a:ln w="19050">
            <a:solidFill>
              <a:schemeClr val="lt1"/>
            </a:solidFill>
          </a:ln>
          <a:effectLst/>
        </c:spPr>
      </c:pivotFmt>
      <c:pivotFmt>
        <c:idx val="143"/>
        <c:spPr>
          <a:solidFill>
            <a:schemeClr val="accent6"/>
          </a:solidFill>
          <a:ln w="19050">
            <a:solidFill>
              <a:schemeClr val="lt1"/>
            </a:solidFill>
          </a:ln>
          <a:effectLst/>
        </c:spPr>
      </c:pivotFmt>
      <c:pivotFmt>
        <c:idx val="144"/>
        <c:spPr>
          <a:solidFill>
            <a:schemeClr val="accent6"/>
          </a:solidFill>
          <a:ln w="19050">
            <a:solidFill>
              <a:schemeClr val="lt1"/>
            </a:solidFill>
          </a:ln>
          <a:effectLst/>
        </c:spPr>
      </c:pivotFmt>
      <c:pivotFmt>
        <c:idx val="145"/>
        <c:spPr>
          <a:solidFill>
            <a:schemeClr val="accent6"/>
          </a:solidFill>
          <a:ln w="19050">
            <a:solidFill>
              <a:schemeClr val="lt1"/>
            </a:solidFill>
          </a:ln>
          <a:effectLst/>
        </c:spPr>
      </c:pivotFmt>
      <c:pivotFmt>
        <c:idx val="146"/>
        <c:spPr>
          <a:solidFill>
            <a:schemeClr val="accent6"/>
          </a:solidFill>
          <a:ln w="19050">
            <a:solidFill>
              <a:schemeClr val="lt1"/>
            </a:solidFill>
          </a:ln>
          <a:effectLst/>
        </c:spPr>
      </c:pivotFmt>
      <c:pivotFmt>
        <c:idx val="147"/>
        <c:spPr>
          <a:solidFill>
            <a:schemeClr val="accent6"/>
          </a:solidFill>
          <a:ln w="19050">
            <a:solidFill>
              <a:schemeClr val="lt1"/>
            </a:solidFill>
          </a:ln>
          <a:effectLst/>
        </c:spPr>
      </c:pivotFmt>
      <c:pivotFmt>
        <c:idx val="148"/>
        <c:spPr>
          <a:solidFill>
            <a:schemeClr val="accent6"/>
          </a:solidFill>
          <a:ln w="19050">
            <a:solidFill>
              <a:schemeClr val="lt1"/>
            </a:solidFill>
          </a:ln>
          <a:effectLst/>
        </c:spPr>
      </c:pivotFmt>
      <c:pivotFmt>
        <c:idx val="149"/>
        <c:spPr>
          <a:solidFill>
            <a:schemeClr val="accent6"/>
          </a:solidFill>
          <a:ln w="19050">
            <a:solidFill>
              <a:schemeClr val="lt1"/>
            </a:solidFill>
          </a:ln>
          <a:effectLst/>
        </c:spPr>
      </c:pivotFmt>
      <c:pivotFmt>
        <c:idx val="150"/>
        <c:spPr>
          <a:solidFill>
            <a:schemeClr val="accent6"/>
          </a:solidFill>
          <a:ln w="19050">
            <a:solidFill>
              <a:schemeClr val="lt1"/>
            </a:solidFill>
          </a:ln>
          <a:effectLst/>
        </c:spPr>
      </c:pivotFmt>
      <c:pivotFmt>
        <c:idx val="151"/>
        <c:spPr>
          <a:solidFill>
            <a:schemeClr val="accent6"/>
          </a:solidFill>
          <a:ln w="19050">
            <a:solidFill>
              <a:schemeClr val="lt1"/>
            </a:solidFill>
          </a:ln>
          <a:effectLst/>
        </c:spPr>
      </c:pivotFmt>
      <c:pivotFmt>
        <c:idx val="15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6"/>
          </a:solidFill>
          <a:ln w="19050">
            <a:solidFill>
              <a:schemeClr val="lt1"/>
            </a:solidFill>
          </a:ln>
          <a:effectLst/>
        </c:spPr>
      </c:pivotFmt>
      <c:pivotFmt>
        <c:idx val="154"/>
        <c:spPr>
          <a:solidFill>
            <a:schemeClr val="accent6"/>
          </a:solidFill>
          <a:ln w="19050">
            <a:solidFill>
              <a:schemeClr val="lt1"/>
            </a:solidFill>
          </a:ln>
          <a:effectLst/>
        </c:spPr>
      </c:pivotFmt>
      <c:pivotFmt>
        <c:idx val="155"/>
        <c:spPr>
          <a:solidFill>
            <a:schemeClr val="accent6"/>
          </a:solidFill>
          <a:ln w="19050">
            <a:solidFill>
              <a:schemeClr val="lt1"/>
            </a:solidFill>
          </a:ln>
          <a:effectLst/>
        </c:spPr>
      </c:pivotFmt>
      <c:pivotFmt>
        <c:idx val="156"/>
        <c:spPr>
          <a:solidFill>
            <a:schemeClr val="accent6"/>
          </a:solidFill>
          <a:ln w="19050">
            <a:solidFill>
              <a:schemeClr val="lt1"/>
            </a:solidFill>
          </a:ln>
          <a:effectLst/>
        </c:spPr>
      </c:pivotFmt>
      <c:pivotFmt>
        <c:idx val="157"/>
        <c:spPr>
          <a:solidFill>
            <a:schemeClr val="accent6"/>
          </a:solidFill>
          <a:ln w="19050">
            <a:solidFill>
              <a:schemeClr val="lt1"/>
            </a:solidFill>
          </a:ln>
          <a:effectLst/>
        </c:spPr>
      </c:pivotFmt>
      <c:pivotFmt>
        <c:idx val="158"/>
        <c:spPr>
          <a:solidFill>
            <a:schemeClr val="accent6"/>
          </a:solidFill>
          <a:ln w="19050">
            <a:solidFill>
              <a:schemeClr val="lt1"/>
            </a:solidFill>
          </a:ln>
          <a:effectLst/>
        </c:spPr>
      </c:pivotFmt>
      <c:pivotFmt>
        <c:idx val="159"/>
        <c:spPr>
          <a:solidFill>
            <a:schemeClr val="accent6"/>
          </a:solidFill>
          <a:ln w="19050">
            <a:solidFill>
              <a:schemeClr val="lt1"/>
            </a:solidFill>
          </a:ln>
          <a:effectLst/>
        </c:spPr>
      </c:pivotFmt>
      <c:pivotFmt>
        <c:idx val="160"/>
        <c:spPr>
          <a:solidFill>
            <a:schemeClr val="accent6"/>
          </a:solidFill>
          <a:ln w="19050">
            <a:solidFill>
              <a:schemeClr val="lt1"/>
            </a:solidFill>
          </a:ln>
          <a:effectLst/>
        </c:spPr>
      </c:pivotFmt>
      <c:pivotFmt>
        <c:idx val="161"/>
        <c:spPr>
          <a:solidFill>
            <a:schemeClr val="accent6"/>
          </a:solidFill>
          <a:ln w="19050">
            <a:solidFill>
              <a:schemeClr val="lt1"/>
            </a:solidFill>
          </a:ln>
          <a:effectLst/>
        </c:spPr>
      </c:pivotFmt>
      <c:pivotFmt>
        <c:idx val="162"/>
        <c:spPr>
          <a:solidFill>
            <a:schemeClr val="accent6"/>
          </a:solidFill>
          <a:ln w="19050">
            <a:solidFill>
              <a:schemeClr val="lt1"/>
            </a:solidFill>
          </a:ln>
          <a:effectLst/>
        </c:spPr>
      </c:pivotFmt>
      <c:pivotFmt>
        <c:idx val="163"/>
        <c:spPr>
          <a:solidFill>
            <a:schemeClr val="accent6"/>
          </a:solidFill>
          <a:ln w="19050">
            <a:solidFill>
              <a:schemeClr val="lt1"/>
            </a:solidFill>
          </a:ln>
          <a:effectLst/>
        </c:spPr>
      </c:pivotFmt>
      <c:pivotFmt>
        <c:idx val="164"/>
        <c:spPr>
          <a:solidFill>
            <a:schemeClr val="accent6"/>
          </a:solidFill>
          <a:ln w="19050">
            <a:solidFill>
              <a:schemeClr val="lt1"/>
            </a:solidFill>
          </a:ln>
          <a:effectLst/>
        </c:spPr>
      </c:pivotFmt>
      <c:pivotFmt>
        <c:idx val="165"/>
        <c:spPr>
          <a:solidFill>
            <a:schemeClr val="accent6"/>
          </a:solidFill>
          <a:ln w="19050">
            <a:solidFill>
              <a:schemeClr val="lt1"/>
            </a:solidFill>
          </a:ln>
          <a:effectLst/>
        </c:spPr>
      </c:pivotFmt>
      <c:pivotFmt>
        <c:idx val="166"/>
        <c:spPr>
          <a:solidFill>
            <a:schemeClr val="accent6"/>
          </a:solidFill>
          <a:ln w="19050">
            <a:solidFill>
              <a:schemeClr val="lt1"/>
            </a:solidFill>
          </a:ln>
          <a:effectLst/>
        </c:spPr>
      </c:pivotFmt>
      <c:pivotFmt>
        <c:idx val="167"/>
        <c:spPr>
          <a:solidFill>
            <a:schemeClr val="accent6"/>
          </a:solidFill>
          <a:ln w="19050">
            <a:solidFill>
              <a:schemeClr val="lt1"/>
            </a:solidFill>
          </a:ln>
          <a:effectLst/>
        </c:spPr>
      </c:pivotFmt>
      <c:pivotFmt>
        <c:idx val="168"/>
        <c:spPr>
          <a:solidFill>
            <a:schemeClr val="accent6"/>
          </a:solidFill>
          <a:ln w="19050">
            <a:solidFill>
              <a:schemeClr val="lt1"/>
            </a:solidFill>
          </a:ln>
          <a:effectLst/>
        </c:spPr>
      </c:pivotFmt>
      <c:pivotFmt>
        <c:idx val="169"/>
        <c:spPr>
          <a:solidFill>
            <a:schemeClr val="accent6"/>
          </a:solidFill>
          <a:ln w="19050">
            <a:solidFill>
              <a:schemeClr val="lt1"/>
            </a:solidFill>
          </a:ln>
          <a:effectLst/>
        </c:spPr>
      </c:pivotFmt>
      <c:pivotFmt>
        <c:idx val="170"/>
        <c:spPr>
          <a:solidFill>
            <a:schemeClr val="accent6"/>
          </a:solidFill>
          <a:ln w="19050">
            <a:solidFill>
              <a:schemeClr val="lt1"/>
            </a:solidFill>
          </a:ln>
          <a:effectLst/>
        </c:spPr>
      </c:pivotFmt>
      <c:pivotFmt>
        <c:idx val="171"/>
        <c:spPr>
          <a:solidFill>
            <a:schemeClr val="accent6"/>
          </a:solidFill>
          <a:ln w="19050">
            <a:solidFill>
              <a:schemeClr val="lt1"/>
            </a:solidFill>
          </a:ln>
          <a:effectLst/>
        </c:spPr>
      </c:pivotFmt>
      <c:pivotFmt>
        <c:idx val="172"/>
        <c:spPr>
          <a:solidFill>
            <a:schemeClr val="accent6"/>
          </a:solidFill>
          <a:ln w="19050">
            <a:solidFill>
              <a:schemeClr val="lt1"/>
            </a:solidFill>
          </a:ln>
          <a:effectLst/>
        </c:spPr>
      </c:pivotFmt>
      <c:pivotFmt>
        <c:idx val="173"/>
        <c:spPr>
          <a:solidFill>
            <a:schemeClr val="accent6"/>
          </a:solidFill>
          <a:ln w="19050">
            <a:solidFill>
              <a:schemeClr val="lt1"/>
            </a:solidFill>
          </a:ln>
          <a:effectLst/>
        </c:spPr>
      </c:pivotFmt>
      <c:pivotFmt>
        <c:idx val="174"/>
        <c:spPr>
          <a:solidFill>
            <a:schemeClr val="accent6"/>
          </a:solidFill>
          <a:ln w="19050">
            <a:solidFill>
              <a:schemeClr val="lt1"/>
            </a:solidFill>
          </a:ln>
          <a:effectLst/>
        </c:spPr>
      </c:pivotFmt>
      <c:pivotFmt>
        <c:idx val="175"/>
        <c:spPr>
          <a:solidFill>
            <a:schemeClr val="accent6"/>
          </a:solidFill>
          <a:ln w="19050">
            <a:solidFill>
              <a:schemeClr val="lt1"/>
            </a:solidFill>
          </a:ln>
          <a:effectLst/>
        </c:spPr>
      </c:pivotFmt>
      <c:pivotFmt>
        <c:idx val="176"/>
        <c:spPr>
          <a:solidFill>
            <a:schemeClr val="accent6"/>
          </a:solidFill>
          <a:ln w="19050">
            <a:solidFill>
              <a:schemeClr val="lt1"/>
            </a:solidFill>
          </a:ln>
          <a:effectLst/>
        </c:spPr>
      </c:pivotFmt>
      <c:pivotFmt>
        <c:idx val="177"/>
        <c:spPr>
          <a:solidFill>
            <a:schemeClr val="accent6"/>
          </a:solidFill>
          <a:ln w="19050">
            <a:solidFill>
              <a:schemeClr val="lt1"/>
            </a:solidFill>
          </a:ln>
          <a:effectLst/>
        </c:spPr>
      </c:pivotFmt>
      <c:pivotFmt>
        <c:idx val="178"/>
        <c:spPr>
          <a:solidFill>
            <a:schemeClr val="accent6"/>
          </a:solidFill>
          <a:ln w="19050">
            <a:solidFill>
              <a:schemeClr val="lt1"/>
            </a:solidFill>
          </a:ln>
          <a:effectLst/>
        </c:spPr>
      </c:pivotFmt>
      <c:pivotFmt>
        <c:idx val="179"/>
        <c:spPr>
          <a:solidFill>
            <a:schemeClr val="accent6"/>
          </a:solidFill>
          <a:ln w="19050">
            <a:solidFill>
              <a:schemeClr val="lt1"/>
            </a:solidFill>
          </a:ln>
          <a:effectLst/>
        </c:spPr>
      </c:pivotFmt>
      <c:pivotFmt>
        <c:idx val="180"/>
        <c:spPr>
          <a:solidFill>
            <a:schemeClr val="accent6"/>
          </a:solidFill>
          <a:ln w="19050">
            <a:solidFill>
              <a:schemeClr val="lt1"/>
            </a:solidFill>
          </a:ln>
          <a:effectLst/>
        </c:spPr>
      </c:pivotFmt>
      <c:pivotFmt>
        <c:idx val="181"/>
        <c:spPr>
          <a:solidFill>
            <a:schemeClr val="accent6"/>
          </a:solidFill>
          <a:ln w="19050">
            <a:solidFill>
              <a:schemeClr val="lt1"/>
            </a:solidFill>
          </a:ln>
          <a:effectLst/>
        </c:spPr>
      </c:pivotFmt>
      <c:pivotFmt>
        <c:idx val="182"/>
        <c:spPr>
          <a:solidFill>
            <a:schemeClr val="accent6"/>
          </a:solidFill>
          <a:ln w="19050">
            <a:solidFill>
              <a:schemeClr val="lt1"/>
            </a:solidFill>
          </a:ln>
          <a:effectLst/>
        </c:spPr>
      </c:pivotFmt>
      <c:pivotFmt>
        <c:idx val="183"/>
        <c:spPr>
          <a:solidFill>
            <a:schemeClr val="accent6"/>
          </a:solidFill>
          <a:ln w="19050">
            <a:solidFill>
              <a:schemeClr val="lt1"/>
            </a:solidFill>
          </a:ln>
          <a:effectLst/>
        </c:spPr>
      </c:pivotFmt>
      <c:pivotFmt>
        <c:idx val="184"/>
        <c:spPr>
          <a:solidFill>
            <a:schemeClr val="accent6"/>
          </a:solidFill>
          <a:ln w="19050">
            <a:solidFill>
              <a:schemeClr val="lt1"/>
            </a:solidFill>
          </a:ln>
          <a:effectLst/>
        </c:spPr>
      </c:pivotFmt>
      <c:pivotFmt>
        <c:idx val="185"/>
        <c:spPr>
          <a:solidFill>
            <a:schemeClr val="accent6"/>
          </a:solidFill>
          <a:ln w="19050">
            <a:solidFill>
              <a:schemeClr val="lt1"/>
            </a:solidFill>
          </a:ln>
          <a:effectLst/>
        </c:spPr>
      </c:pivotFmt>
      <c:pivotFmt>
        <c:idx val="186"/>
        <c:spPr>
          <a:solidFill>
            <a:schemeClr val="accent6"/>
          </a:solidFill>
          <a:ln w="19050">
            <a:solidFill>
              <a:schemeClr val="lt1"/>
            </a:solidFill>
          </a:ln>
          <a:effectLst/>
        </c:spPr>
      </c:pivotFmt>
      <c:pivotFmt>
        <c:idx val="187"/>
        <c:spPr>
          <a:solidFill>
            <a:schemeClr val="accent6"/>
          </a:solidFill>
          <a:ln w="19050">
            <a:solidFill>
              <a:schemeClr val="lt1"/>
            </a:solidFill>
          </a:ln>
          <a:effectLst/>
        </c:spPr>
      </c:pivotFmt>
      <c:pivotFmt>
        <c:idx val="188"/>
        <c:spPr>
          <a:solidFill>
            <a:schemeClr val="accent6"/>
          </a:solidFill>
          <a:ln w="19050">
            <a:solidFill>
              <a:schemeClr val="lt1"/>
            </a:solidFill>
          </a:ln>
          <a:effectLst/>
        </c:spPr>
      </c:pivotFmt>
      <c:pivotFmt>
        <c:idx val="189"/>
        <c:spPr>
          <a:solidFill>
            <a:schemeClr val="accent6"/>
          </a:solidFill>
          <a:ln w="19050">
            <a:solidFill>
              <a:schemeClr val="lt1"/>
            </a:solidFill>
          </a:ln>
          <a:effectLst/>
        </c:spPr>
      </c:pivotFmt>
      <c:pivotFmt>
        <c:idx val="190"/>
        <c:spPr>
          <a:solidFill>
            <a:schemeClr val="accent6"/>
          </a:solidFill>
          <a:ln w="19050">
            <a:solidFill>
              <a:schemeClr val="lt1"/>
            </a:solidFill>
          </a:ln>
          <a:effectLst/>
        </c:spPr>
      </c:pivotFmt>
      <c:pivotFmt>
        <c:idx val="191"/>
        <c:spPr>
          <a:solidFill>
            <a:schemeClr val="accent6"/>
          </a:solidFill>
          <a:ln w="19050">
            <a:solidFill>
              <a:schemeClr val="lt1"/>
            </a:solidFill>
          </a:ln>
          <a:effectLst/>
        </c:spPr>
      </c:pivotFmt>
      <c:pivotFmt>
        <c:idx val="192"/>
        <c:spPr>
          <a:solidFill>
            <a:schemeClr val="accent6"/>
          </a:solidFill>
          <a:ln w="19050">
            <a:solidFill>
              <a:schemeClr val="lt1"/>
            </a:solidFill>
          </a:ln>
          <a:effectLst/>
        </c:spPr>
      </c:pivotFmt>
      <c:pivotFmt>
        <c:idx val="193"/>
        <c:spPr>
          <a:solidFill>
            <a:schemeClr val="accent6"/>
          </a:solidFill>
          <a:ln w="19050">
            <a:solidFill>
              <a:schemeClr val="lt1"/>
            </a:solidFill>
          </a:ln>
          <a:effectLst/>
        </c:spPr>
      </c:pivotFmt>
      <c:pivotFmt>
        <c:idx val="194"/>
        <c:spPr>
          <a:solidFill>
            <a:schemeClr val="accent6"/>
          </a:solidFill>
          <a:ln w="19050">
            <a:solidFill>
              <a:schemeClr val="lt1"/>
            </a:solidFill>
          </a:ln>
          <a:effectLst/>
        </c:spPr>
      </c:pivotFmt>
      <c:pivotFmt>
        <c:idx val="195"/>
        <c:spPr>
          <a:solidFill>
            <a:schemeClr val="accent6"/>
          </a:solidFill>
          <a:ln w="19050">
            <a:solidFill>
              <a:schemeClr val="lt1"/>
            </a:solidFill>
          </a:ln>
          <a:effectLst/>
        </c:spPr>
      </c:pivotFmt>
      <c:pivotFmt>
        <c:idx val="196"/>
        <c:spPr>
          <a:solidFill>
            <a:schemeClr val="accent6"/>
          </a:solidFill>
          <a:ln w="19050">
            <a:solidFill>
              <a:schemeClr val="lt1"/>
            </a:solidFill>
          </a:ln>
          <a:effectLst/>
        </c:spPr>
      </c:pivotFmt>
      <c:pivotFmt>
        <c:idx val="197"/>
        <c:spPr>
          <a:solidFill>
            <a:schemeClr val="accent6"/>
          </a:solidFill>
          <a:ln w="19050">
            <a:solidFill>
              <a:schemeClr val="lt1"/>
            </a:solidFill>
          </a:ln>
          <a:effectLst/>
        </c:spPr>
      </c:pivotFmt>
      <c:pivotFmt>
        <c:idx val="198"/>
        <c:spPr>
          <a:solidFill>
            <a:schemeClr val="accent6"/>
          </a:solidFill>
          <a:ln w="19050">
            <a:solidFill>
              <a:schemeClr val="lt1"/>
            </a:solidFill>
          </a:ln>
          <a:effectLst/>
        </c:spPr>
      </c:pivotFmt>
      <c:pivotFmt>
        <c:idx val="199"/>
        <c:spPr>
          <a:solidFill>
            <a:schemeClr val="accent6"/>
          </a:solidFill>
          <a:ln w="19050">
            <a:solidFill>
              <a:schemeClr val="lt1"/>
            </a:solidFill>
          </a:ln>
          <a:effectLst/>
        </c:spPr>
      </c:pivotFmt>
      <c:pivotFmt>
        <c:idx val="200"/>
        <c:spPr>
          <a:solidFill>
            <a:schemeClr val="accent6"/>
          </a:solidFill>
          <a:ln w="19050">
            <a:solidFill>
              <a:schemeClr val="lt1"/>
            </a:solidFill>
          </a:ln>
          <a:effectLst/>
        </c:spPr>
      </c:pivotFmt>
      <c:pivotFmt>
        <c:idx val="201"/>
        <c:spPr>
          <a:solidFill>
            <a:schemeClr val="accent6"/>
          </a:solidFill>
          <a:ln w="19050">
            <a:solidFill>
              <a:schemeClr val="lt1"/>
            </a:solidFill>
          </a:ln>
          <a:effectLst/>
        </c:spPr>
      </c:pivotFmt>
    </c:pivotFmts>
    <c:plotArea>
      <c:layout/>
      <c:doughnutChart>
        <c:varyColors val="1"/>
        <c:ser>
          <c:idx val="0"/>
          <c:order val="0"/>
          <c:tx>
            <c:strRef>
              <c:f>Sheet4!$B$3</c:f>
              <c:strCache>
                <c:ptCount val="1"/>
                <c:pt idx="0">
                  <c:v>Sum of released_month</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681-42D2-BCA2-F4576444633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681-42D2-BCA2-F4576444633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681-42D2-BCA2-F45764446338}"/>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A681-42D2-BCA2-F45764446338}"/>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A681-42D2-BCA2-F457644463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681-42D2-BCA2-F45764446338}"/>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0D-A681-42D2-BCA2-F45764446338}"/>
              </c:ext>
            </c:extLst>
          </c:dPt>
          <c:dPt>
            <c:idx val="7"/>
            <c:bubble3D val="0"/>
            <c:spPr>
              <a:solidFill>
                <a:schemeClr val="accent6"/>
              </a:solidFill>
              <a:ln w="19050">
                <a:solidFill>
                  <a:schemeClr val="lt1"/>
                </a:solidFill>
              </a:ln>
              <a:effectLst/>
            </c:spPr>
            <c:extLst>
              <c:ext xmlns:c16="http://schemas.microsoft.com/office/drawing/2014/chart" uri="{C3380CC4-5D6E-409C-BE32-E72D297353CC}">
                <c16:uniqueId val="{0000000F-A681-42D2-BCA2-F45764446338}"/>
              </c:ext>
            </c:extLst>
          </c:dPt>
          <c:dPt>
            <c:idx val="8"/>
            <c:bubble3D val="0"/>
            <c:spPr>
              <a:solidFill>
                <a:schemeClr val="accent6"/>
              </a:solidFill>
              <a:ln w="19050">
                <a:solidFill>
                  <a:schemeClr val="lt1"/>
                </a:solidFill>
              </a:ln>
              <a:effectLst/>
            </c:spPr>
            <c:extLst>
              <c:ext xmlns:c16="http://schemas.microsoft.com/office/drawing/2014/chart" uri="{C3380CC4-5D6E-409C-BE32-E72D297353CC}">
                <c16:uniqueId val="{00000011-A681-42D2-BCA2-F45764446338}"/>
              </c:ext>
            </c:extLst>
          </c:dPt>
          <c:dPt>
            <c:idx val="9"/>
            <c:bubble3D val="0"/>
            <c:spPr>
              <a:solidFill>
                <a:schemeClr val="accent6"/>
              </a:solidFill>
              <a:ln w="19050">
                <a:solidFill>
                  <a:schemeClr val="lt1"/>
                </a:solidFill>
              </a:ln>
              <a:effectLst/>
            </c:spPr>
            <c:extLst>
              <c:ext xmlns:c16="http://schemas.microsoft.com/office/drawing/2014/chart" uri="{C3380CC4-5D6E-409C-BE32-E72D297353CC}">
                <c16:uniqueId val="{00000013-A681-42D2-BCA2-F45764446338}"/>
              </c:ext>
            </c:extLst>
          </c:dPt>
          <c:dPt>
            <c:idx val="10"/>
            <c:bubble3D val="0"/>
            <c:spPr>
              <a:solidFill>
                <a:schemeClr val="accent6"/>
              </a:solidFill>
              <a:ln w="19050">
                <a:solidFill>
                  <a:schemeClr val="lt1"/>
                </a:solidFill>
              </a:ln>
              <a:effectLst/>
            </c:spPr>
            <c:extLst>
              <c:ext xmlns:c16="http://schemas.microsoft.com/office/drawing/2014/chart" uri="{C3380CC4-5D6E-409C-BE32-E72D297353CC}">
                <c16:uniqueId val="{00000015-A681-42D2-BCA2-F45764446338}"/>
              </c:ext>
            </c:extLst>
          </c:dPt>
          <c:dPt>
            <c:idx val="11"/>
            <c:bubble3D val="0"/>
            <c:spPr>
              <a:solidFill>
                <a:schemeClr val="accent6"/>
              </a:solidFill>
              <a:ln w="19050">
                <a:solidFill>
                  <a:schemeClr val="lt1"/>
                </a:solidFill>
              </a:ln>
              <a:effectLst/>
            </c:spPr>
            <c:extLst>
              <c:ext xmlns:c16="http://schemas.microsoft.com/office/drawing/2014/chart" uri="{C3380CC4-5D6E-409C-BE32-E72D297353CC}">
                <c16:uniqueId val="{00000017-A681-42D2-BCA2-F45764446338}"/>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19-A681-42D2-BCA2-F45764446338}"/>
              </c:ext>
            </c:extLst>
          </c:dPt>
          <c:dPt>
            <c:idx val="13"/>
            <c:bubble3D val="0"/>
            <c:spPr>
              <a:solidFill>
                <a:schemeClr val="accent6"/>
              </a:solidFill>
              <a:ln w="19050">
                <a:solidFill>
                  <a:schemeClr val="lt1"/>
                </a:solidFill>
              </a:ln>
              <a:effectLst/>
            </c:spPr>
            <c:extLst>
              <c:ext xmlns:c16="http://schemas.microsoft.com/office/drawing/2014/chart" uri="{C3380CC4-5D6E-409C-BE32-E72D297353CC}">
                <c16:uniqueId val="{0000001B-A681-42D2-BCA2-F45764446338}"/>
              </c:ext>
            </c:extLst>
          </c:dPt>
          <c:dPt>
            <c:idx val="14"/>
            <c:bubble3D val="0"/>
            <c:spPr>
              <a:solidFill>
                <a:schemeClr val="accent6"/>
              </a:solidFill>
              <a:ln w="19050">
                <a:solidFill>
                  <a:schemeClr val="lt1"/>
                </a:solidFill>
              </a:ln>
              <a:effectLst/>
            </c:spPr>
            <c:extLst>
              <c:ext xmlns:c16="http://schemas.microsoft.com/office/drawing/2014/chart" uri="{C3380CC4-5D6E-409C-BE32-E72D297353CC}">
                <c16:uniqueId val="{0000001D-A681-42D2-BCA2-F45764446338}"/>
              </c:ext>
            </c:extLst>
          </c:dPt>
          <c:dPt>
            <c:idx val="15"/>
            <c:bubble3D val="0"/>
            <c:spPr>
              <a:solidFill>
                <a:schemeClr val="accent6"/>
              </a:solidFill>
              <a:ln w="19050">
                <a:solidFill>
                  <a:schemeClr val="lt1"/>
                </a:solidFill>
              </a:ln>
              <a:effectLst/>
            </c:spPr>
            <c:extLst>
              <c:ext xmlns:c16="http://schemas.microsoft.com/office/drawing/2014/chart" uri="{C3380CC4-5D6E-409C-BE32-E72D297353CC}">
                <c16:uniqueId val="{0000001F-A681-42D2-BCA2-F45764446338}"/>
              </c:ext>
            </c:extLst>
          </c:dPt>
          <c:dPt>
            <c:idx val="16"/>
            <c:bubble3D val="0"/>
            <c:spPr>
              <a:solidFill>
                <a:schemeClr val="accent6"/>
              </a:solidFill>
              <a:ln w="19050">
                <a:solidFill>
                  <a:schemeClr val="lt1"/>
                </a:solidFill>
              </a:ln>
              <a:effectLst/>
            </c:spPr>
            <c:extLst>
              <c:ext xmlns:c16="http://schemas.microsoft.com/office/drawing/2014/chart" uri="{C3380CC4-5D6E-409C-BE32-E72D297353CC}">
                <c16:uniqueId val="{00000021-A681-42D2-BCA2-F45764446338}"/>
              </c:ext>
            </c:extLst>
          </c:dPt>
          <c:dPt>
            <c:idx val="17"/>
            <c:bubble3D val="0"/>
            <c:spPr>
              <a:solidFill>
                <a:schemeClr val="accent6"/>
              </a:solidFill>
              <a:ln w="19050">
                <a:solidFill>
                  <a:schemeClr val="lt1"/>
                </a:solidFill>
              </a:ln>
              <a:effectLst/>
            </c:spPr>
            <c:extLst>
              <c:ext xmlns:c16="http://schemas.microsoft.com/office/drawing/2014/chart" uri="{C3380CC4-5D6E-409C-BE32-E72D297353CC}">
                <c16:uniqueId val="{00000023-A681-42D2-BCA2-F45764446338}"/>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25-A681-42D2-BCA2-F45764446338}"/>
              </c:ext>
            </c:extLst>
          </c:dPt>
          <c:dPt>
            <c:idx val="19"/>
            <c:bubble3D val="0"/>
            <c:spPr>
              <a:solidFill>
                <a:schemeClr val="accent6"/>
              </a:solidFill>
              <a:ln w="19050">
                <a:solidFill>
                  <a:schemeClr val="lt1"/>
                </a:solidFill>
              </a:ln>
              <a:effectLst/>
            </c:spPr>
            <c:extLst>
              <c:ext xmlns:c16="http://schemas.microsoft.com/office/drawing/2014/chart" uri="{C3380CC4-5D6E-409C-BE32-E72D297353CC}">
                <c16:uniqueId val="{00000027-A681-42D2-BCA2-F45764446338}"/>
              </c:ext>
            </c:extLst>
          </c:dPt>
          <c:dPt>
            <c:idx val="20"/>
            <c:bubble3D val="0"/>
            <c:spPr>
              <a:solidFill>
                <a:schemeClr val="accent6"/>
              </a:solidFill>
              <a:ln w="19050">
                <a:solidFill>
                  <a:schemeClr val="lt1"/>
                </a:solidFill>
              </a:ln>
              <a:effectLst/>
            </c:spPr>
            <c:extLst>
              <c:ext xmlns:c16="http://schemas.microsoft.com/office/drawing/2014/chart" uri="{C3380CC4-5D6E-409C-BE32-E72D297353CC}">
                <c16:uniqueId val="{00000029-A681-42D2-BCA2-F45764446338}"/>
              </c:ext>
            </c:extLst>
          </c:dPt>
          <c:dPt>
            <c:idx val="21"/>
            <c:bubble3D val="0"/>
            <c:spPr>
              <a:solidFill>
                <a:schemeClr val="accent6"/>
              </a:solidFill>
              <a:ln w="19050">
                <a:solidFill>
                  <a:schemeClr val="lt1"/>
                </a:solidFill>
              </a:ln>
              <a:effectLst/>
            </c:spPr>
            <c:extLst>
              <c:ext xmlns:c16="http://schemas.microsoft.com/office/drawing/2014/chart" uri="{C3380CC4-5D6E-409C-BE32-E72D297353CC}">
                <c16:uniqueId val="{0000002B-A681-42D2-BCA2-F45764446338}"/>
              </c:ext>
            </c:extLst>
          </c:dPt>
          <c:dPt>
            <c:idx val="22"/>
            <c:bubble3D val="0"/>
            <c:spPr>
              <a:solidFill>
                <a:schemeClr val="accent6"/>
              </a:solidFill>
              <a:ln w="19050">
                <a:solidFill>
                  <a:schemeClr val="lt1"/>
                </a:solidFill>
              </a:ln>
              <a:effectLst/>
            </c:spPr>
            <c:extLst>
              <c:ext xmlns:c16="http://schemas.microsoft.com/office/drawing/2014/chart" uri="{C3380CC4-5D6E-409C-BE32-E72D297353CC}">
                <c16:uniqueId val="{0000002D-A681-42D2-BCA2-F45764446338}"/>
              </c:ext>
            </c:extLst>
          </c:dPt>
          <c:dPt>
            <c:idx val="23"/>
            <c:bubble3D val="0"/>
            <c:spPr>
              <a:solidFill>
                <a:schemeClr val="accent6"/>
              </a:solidFill>
              <a:ln w="19050">
                <a:solidFill>
                  <a:schemeClr val="lt1"/>
                </a:solidFill>
              </a:ln>
              <a:effectLst/>
            </c:spPr>
            <c:extLst>
              <c:ext xmlns:c16="http://schemas.microsoft.com/office/drawing/2014/chart" uri="{C3380CC4-5D6E-409C-BE32-E72D297353CC}">
                <c16:uniqueId val="{0000002F-A681-42D2-BCA2-F45764446338}"/>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31-A681-42D2-BCA2-F45764446338}"/>
              </c:ext>
            </c:extLst>
          </c:dPt>
          <c:dPt>
            <c:idx val="25"/>
            <c:bubble3D val="0"/>
            <c:spPr>
              <a:solidFill>
                <a:schemeClr val="accent6"/>
              </a:solidFill>
              <a:ln w="19050">
                <a:solidFill>
                  <a:schemeClr val="lt1"/>
                </a:solidFill>
              </a:ln>
              <a:effectLst/>
            </c:spPr>
            <c:extLst>
              <c:ext xmlns:c16="http://schemas.microsoft.com/office/drawing/2014/chart" uri="{C3380CC4-5D6E-409C-BE32-E72D297353CC}">
                <c16:uniqueId val="{00000033-A681-42D2-BCA2-F45764446338}"/>
              </c:ext>
            </c:extLst>
          </c:dPt>
          <c:dPt>
            <c:idx val="26"/>
            <c:bubble3D val="0"/>
            <c:spPr>
              <a:solidFill>
                <a:schemeClr val="accent6"/>
              </a:solidFill>
              <a:ln w="19050">
                <a:solidFill>
                  <a:schemeClr val="lt1"/>
                </a:solidFill>
              </a:ln>
              <a:effectLst/>
            </c:spPr>
            <c:extLst>
              <c:ext xmlns:c16="http://schemas.microsoft.com/office/drawing/2014/chart" uri="{C3380CC4-5D6E-409C-BE32-E72D297353CC}">
                <c16:uniqueId val="{00000035-A681-42D2-BCA2-F45764446338}"/>
              </c:ext>
            </c:extLst>
          </c:dPt>
          <c:dPt>
            <c:idx val="27"/>
            <c:bubble3D val="0"/>
            <c:spPr>
              <a:solidFill>
                <a:schemeClr val="accent6"/>
              </a:solidFill>
              <a:ln w="19050">
                <a:solidFill>
                  <a:schemeClr val="lt1"/>
                </a:solidFill>
              </a:ln>
              <a:effectLst/>
            </c:spPr>
            <c:extLst>
              <c:ext xmlns:c16="http://schemas.microsoft.com/office/drawing/2014/chart" uri="{C3380CC4-5D6E-409C-BE32-E72D297353CC}">
                <c16:uniqueId val="{00000037-A681-42D2-BCA2-F45764446338}"/>
              </c:ext>
            </c:extLst>
          </c:dPt>
          <c:dPt>
            <c:idx val="28"/>
            <c:bubble3D val="0"/>
            <c:spPr>
              <a:solidFill>
                <a:schemeClr val="accent6"/>
              </a:solidFill>
              <a:ln w="19050">
                <a:solidFill>
                  <a:schemeClr val="lt1"/>
                </a:solidFill>
              </a:ln>
              <a:effectLst/>
            </c:spPr>
            <c:extLst>
              <c:ext xmlns:c16="http://schemas.microsoft.com/office/drawing/2014/chart" uri="{C3380CC4-5D6E-409C-BE32-E72D297353CC}">
                <c16:uniqueId val="{00000039-A681-42D2-BCA2-F45764446338}"/>
              </c:ext>
            </c:extLst>
          </c:dPt>
          <c:dPt>
            <c:idx val="29"/>
            <c:bubble3D val="0"/>
            <c:spPr>
              <a:solidFill>
                <a:schemeClr val="accent6"/>
              </a:solidFill>
              <a:ln w="19050">
                <a:solidFill>
                  <a:schemeClr val="lt1"/>
                </a:solidFill>
              </a:ln>
              <a:effectLst/>
            </c:spPr>
            <c:extLst>
              <c:ext xmlns:c16="http://schemas.microsoft.com/office/drawing/2014/chart" uri="{C3380CC4-5D6E-409C-BE32-E72D297353CC}">
                <c16:uniqueId val="{0000003B-A681-42D2-BCA2-F45764446338}"/>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3D-A681-42D2-BCA2-F45764446338}"/>
              </c:ext>
            </c:extLst>
          </c:dPt>
          <c:dPt>
            <c:idx val="31"/>
            <c:bubble3D val="0"/>
            <c:spPr>
              <a:solidFill>
                <a:schemeClr val="accent6"/>
              </a:solidFill>
              <a:ln w="19050">
                <a:solidFill>
                  <a:schemeClr val="lt1"/>
                </a:solidFill>
              </a:ln>
              <a:effectLst/>
            </c:spPr>
            <c:extLst>
              <c:ext xmlns:c16="http://schemas.microsoft.com/office/drawing/2014/chart" uri="{C3380CC4-5D6E-409C-BE32-E72D297353CC}">
                <c16:uniqueId val="{0000003F-A681-42D2-BCA2-F45764446338}"/>
              </c:ext>
            </c:extLst>
          </c:dPt>
          <c:dPt>
            <c:idx val="32"/>
            <c:bubble3D val="0"/>
            <c:spPr>
              <a:solidFill>
                <a:schemeClr val="accent6"/>
              </a:solidFill>
              <a:ln w="19050">
                <a:solidFill>
                  <a:schemeClr val="lt1"/>
                </a:solidFill>
              </a:ln>
              <a:effectLst/>
            </c:spPr>
            <c:extLst>
              <c:ext xmlns:c16="http://schemas.microsoft.com/office/drawing/2014/chart" uri="{C3380CC4-5D6E-409C-BE32-E72D297353CC}">
                <c16:uniqueId val="{00000041-A681-42D2-BCA2-F45764446338}"/>
              </c:ext>
            </c:extLst>
          </c:dPt>
          <c:dPt>
            <c:idx val="33"/>
            <c:bubble3D val="0"/>
            <c:spPr>
              <a:solidFill>
                <a:schemeClr val="accent6"/>
              </a:solidFill>
              <a:ln w="19050">
                <a:solidFill>
                  <a:schemeClr val="lt1"/>
                </a:solidFill>
              </a:ln>
              <a:effectLst/>
            </c:spPr>
            <c:extLst>
              <c:ext xmlns:c16="http://schemas.microsoft.com/office/drawing/2014/chart" uri="{C3380CC4-5D6E-409C-BE32-E72D297353CC}">
                <c16:uniqueId val="{00000043-A681-42D2-BCA2-F45764446338}"/>
              </c:ext>
            </c:extLst>
          </c:dPt>
          <c:dPt>
            <c:idx val="34"/>
            <c:bubble3D val="0"/>
            <c:spPr>
              <a:solidFill>
                <a:schemeClr val="accent6"/>
              </a:solidFill>
              <a:ln w="19050">
                <a:solidFill>
                  <a:schemeClr val="lt1"/>
                </a:solidFill>
              </a:ln>
              <a:effectLst/>
            </c:spPr>
            <c:extLst>
              <c:ext xmlns:c16="http://schemas.microsoft.com/office/drawing/2014/chart" uri="{C3380CC4-5D6E-409C-BE32-E72D297353CC}">
                <c16:uniqueId val="{00000045-A681-42D2-BCA2-F45764446338}"/>
              </c:ext>
            </c:extLst>
          </c:dPt>
          <c:dPt>
            <c:idx val="35"/>
            <c:bubble3D val="0"/>
            <c:spPr>
              <a:solidFill>
                <a:schemeClr val="accent6"/>
              </a:solidFill>
              <a:ln w="19050">
                <a:solidFill>
                  <a:schemeClr val="lt1"/>
                </a:solidFill>
              </a:ln>
              <a:effectLst/>
            </c:spPr>
            <c:extLst>
              <c:ext xmlns:c16="http://schemas.microsoft.com/office/drawing/2014/chart" uri="{C3380CC4-5D6E-409C-BE32-E72D297353CC}">
                <c16:uniqueId val="{00000047-A681-42D2-BCA2-F45764446338}"/>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49-A681-42D2-BCA2-F45764446338}"/>
              </c:ext>
            </c:extLst>
          </c:dPt>
          <c:dPt>
            <c:idx val="37"/>
            <c:bubble3D val="0"/>
            <c:spPr>
              <a:solidFill>
                <a:schemeClr val="accent6"/>
              </a:solidFill>
              <a:ln w="19050">
                <a:solidFill>
                  <a:schemeClr val="lt1"/>
                </a:solidFill>
              </a:ln>
              <a:effectLst/>
            </c:spPr>
            <c:extLst>
              <c:ext xmlns:c16="http://schemas.microsoft.com/office/drawing/2014/chart" uri="{C3380CC4-5D6E-409C-BE32-E72D297353CC}">
                <c16:uniqueId val="{0000004B-A681-42D2-BCA2-F45764446338}"/>
              </c:ext>
            </c:extLst>
          </c:dPt>
          <c:dPt>
            <c:idx val="38"/>
            <c:bubble3D val="0"/>
            <c:spPr>
              <a:solidFill>
                <a:schemeClr val="accent6"/>
              </a:solidFill>
              <a:ln w="19050">
                <a:solidFill>
                  <a:schemeClr val="lt1"/>
                </a:solidFill>
              </a:ln>
              <a:effectLst/>
            </c:spPr>
            <c:extLst>
              <c:ext xmlns:c16="http://schemas.microsoft.com/office/drawing/2014/chart" uri="{C3380CC4-5D6E-409C-BE32-E72D297353CC}">
                <c16:uniqueId val="{0000004D-A681-42D2-BCA2-F45764446338}"/>
              </c:ext>
            </c:extLst>
          </c:dPt>
          <c:dPt>
            <c:idx val="39"/>
            <c:bubble3D val="0"/>
            <c:spPr>
              <a:solidFill>
                <a:schemeClr val="accent6"/>
              </a:solidFill>
              <a:ln w="19050">
                <a:solidFill>
                  <a:schemeClr val="lt1"/>
                </a:solidFill>
              </a:ln>
              <a:effectLst/>
            </c:spPr>
            <c:extLst>
              <c:ext xmlns:c16="http://schemas.microsoft.com/office/drawing/2014/chart" uri="{C3380CC4-5D6E-409C-BE32-E72D297353CC}">
                <c16:uniqueId val="{0000004F-A681-42D2-BCA2-F45764446338}"/>
              </c:ext>
            </c:extLst>
          </c:dPt>
          <c:dPt>
            <c:idx val="40"/>
            <c:bubble3D val="0"/>
            <c:spPr>
              <a:solidFill>
                <a:schemeClr val="accent6"/>
              </a:solidFill>
              <a:ln w="19050">
                <a:solidFill>
                  <a:schemeClr val="lt1"/>
                </a:solidFill>
              </a:ln>
              <a:effectLst/>
            </c:spPr>
            <c:extLst>
              <c:ext xmlns:c16="http://schemas.microsoft.com/office/drawing/2014/chart" uri="{C3380CC4-5D6E-409C-BE32-E72D297353CC}">
                <c16:uniqueId val="{00000051-A681-42D2-BCA2-F45764446338}"/>
              </c:ext>
            </c:extLst>
          </c:dPt>
          <c:dPt>
            <c:idx val="41"/>
            <c:bubble3D val="0"/>
            <c:spPr>
              <a:solidFill>
                <a:schemeClr val="accent6"/>
              </a:solidFill>
              <a:ln w="19050">
                <a:solidFill>
                  <a:schemeClr val="lt1"/>
                </a:solidFill>
              </a:ln>
              <a:effectLst/>
            </c:spPr>
            <c:extLst>
              <c:ext xmlns:c16="http://schemas.microsoft.com/office/drawing/2014/chart" uri="{C3380CC4-5D6E-409C-BE32-E72D297353CC}">
                <c16:uniqueId val="{00000053-A681-42D2-BCA2-F45764446338}"/>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55-A681-42D2-BCA2-F45764446338}"/>
              </c:ext>
            </c:extLst>
          </c:dPt>
          <c:dPt>
            <c:idx val="43"/>
            <c:bubble3D val="0"/>
            <c:spPr>
              <a:solidFill>
                <a:schemeClr val="accent6"/>
              </a:solidFill>
              <a:ln w="19050">
                <a:solidFill>
                  <a:schemeClr val="lt1"/>
                </a:solidFill>
              </a:ln>
              <a:effectLst/>
            </c:spPr>
            <c:extLst>
              <c:ext xmlns:c16="http://schemas.microsoft.com/office/drawing/2014/chart" uri="{C3380CC4-5D6E-409C-BE32-E72D297353CC}">
                <c16:uniqueId val="{00000057-A681-42D2-BCA2-F45764446338}"/>
              </c:ext>
            </c:extLst>
          </c:dPt>
          <c:dPt>
            <c:idx val="44"/>
            <c:bubble3D val="0"/>
            <c:spPr>
              <a:solidFill>
                <a:schemeClr val="accent6"/>
              </a:solidFill>
              <a:ln w="19050">
                <a:solidFill>
                  <a:schemeClr val="lt1"/>
                </a:solidFill>
              </a:ln>
              <a:effectLst/>
            </c:spPr>
            <c:extLst>
              <c:ext xmlns:c16="http://schemas.microsoft.com/office/drawing/2014/chart" uri="{C3380CC4-5D6E-409C-BE32-E72D297353CC}">
                <c16:uniqueId val="{00000059-A681-42D2-BCA2-F45764446338}"/>
              </c:ext>
            </c:extLst>
          </c:dPt>
          <c:dPt>
            <c:idx val="45"/>
            <c:bubble3D val="0"/>
            <c:spPr>
              <a:solidFill>
                <a:schemeClr val="accent6"/>
              </a:solidFill>
              <a:ln w="19050">
                <a:solidFill>
                  <a:schemeClr val="lt1"/>
                </a:solidFill>
              </a:ln>
              <a:effectLst/>
            </c:spPr>
            <c:extLst>
              <c:ext xmlns:c16="http://schemas.microsoft.com/office/drawing/2014/chart" uri="{C3380CC4-5D6E-409C-BE32-E72D297353CC}">
                <c16:uniqueId val="{0000005B-A681-42D2-BCA2-F45764446338}"/>
              </c:ext>
            </c:extLst>
          </c:dPt>
          <c:dPt>
            <c:idx val="46"/>
            <c:bubble3D val="0"/>
            <c:spPr>
              <a:solidFill>
                <a:schemeClr val="accent6"/>
              </a:solidFill>
              <a:ln w="19050">
                <a:solidFill>
                  <a:schemeClr val="lt1"/>
                </a:solidFill>
              </a:ln>
              <a:effectLst/>
            </c:spPr>
            <c:extLst>
              <c:ext xmlns:c16="http://schemas.microsoft.com/office/drawing/2014/chart" uri="{C3380CC4-5D6E-409C-BE32-E72D297353CC}">
                <c16:uniqueId val="{0000005D-A681-42D2-BCA2-F45764446338}"/>
              </c:ext>
            </c:extLst>
          </c:dPt>
          <c:dPt>
            <c:idx val="47"/>
            <c:bubble3D val="0"/>
            <c:spPr>
              <a:solidFill>
                <a:schemeClr val="accent6"/>
              </a:solidFill>
              <a:ln w="19050">
                <a:solidFill>
                  <a:schemeClr val="lt1"/>
                </a:solidFill>
              </a:ln>
              <a:effectLst/>
            </c:spPr>
            <c:extLst>
              <c:ext xmlns:c16="http://schemas.microsoft.com/office/drawing/2014/chart" uri="{C3380CC4-5D6E-409C-BE32-E72D297353CC}">
                <c16:uniqueId val="{0000005F-A681-42D2-BCA2-F45764446338}"/>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61-A681-42D2-BCA2-F45764446338}"/>
              </c:ext>
            </c:extLst>
          </c:dPt>
          <c:cat>
            <c:strRef>
              <c:f>Sheet4!$A$4:$A$5</c:f>
              <c:strCache>
                <c:ptCount val="1"/>
                <c:pt idx="0">
                  <c:v>As It Was</c:v>
                </c:pt>
              </c:strCache>
            </c:strRef>
          </c:cat>
          <c:val>
            <c:numRef>
              <c:f>Sheet4!$B$4:$B$5</c:f>
              <c:numCache>
                <c:formatCode>General</c:formatCode>
                <c:ptCount val="1"/>
                <c:pt idx="0">
                  <c:v>3</c:v>
                </c:pt>
              </c:numCache>
            </c:numRef>
          </c:val>
          <c:extLst>
            <c:ext xmlns:c16="http://schemas.microsoft.com/office/drawing/2014/chart" uri="{C3380CC4-5D6E-409C-BE32-E72D297353CC}">
              <c16:uniqueId val="{00000062-A681-42D2-BCA2-F45764446338}"/>
            </c:ext>
          </c:extLst>
        </c:ser>
        <c:ser>
          <c:idx val="1"/>
          <c:order val="1"/>
          <c:tx>
            <c:strRef>
              <c:f>Sheet4!$C$3</c:f>
              <c:strCache>
                <c:ptCount val="1"/>
                <c:pt idx="0">
                  <c:v>Sum of streams</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64-A681-42D2-BCA2-F45764446338}"/>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66-A681-42D2-BCA2-F4576444633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68-A681-42D2-BCA2-F45764446338}"/>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6A-A681-42D2-BCA2-F45764446338}"/>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6C-A681-42D2-BCA2-F457644463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E-A681-42D2-BCA2-F45764446338}"/>
              </c:ext>
            </c:extLst>
          </c:dPt>
          <c:dPt>
            <c:idx val="6"/>
            <c:bubble3D val="0"/>
            <c:spPr>
              <a:solidFill>
                <a:schemeClr val="accent6"/>
              </a:solidFill>
              <a:ln w="19050">
                <a:solidFill>
                  <a:schemeClr val="lt1"/>
                </a:solidFill>
              </a:ln>
              <a:effectLst/>
            </c:spPr>
            <c:extLst>
              <c:ext xmlns:c16="http://schemas.microsoft.com/office/drawing/2014/chart" uri="{C3380CC4-5D6E-409C-BE32-E72D297353CC}">
                <c16:uniqueId val="{00000070-A681-42D2-BCA2-F45764446338}"/>
              </c:ext>
            </c:extLst>
          </c:dPt>
          <c:dPt>
            <c:idx val="7"/>
            <c:bubble3D val="0"/>
            <c:spPr>
              <a:solidFill>
                <a:schemeClr val="accent6"/>
              </a:solidFill>
              <a:ln w="19050">
                <a:solidFill>
                  <a:schemeClr val="lt1"/>
                </a:solidFill>
              </a:ln>
              <a:effectLst/>
            </c:spPr>
            <c:extLst>
              <c:ext xmlns:c16="http://schemas.microsoft.com/office/drawing/2014/chart" uri="{C3380CC4-5D6E-409C-BE32-E72D297353CC}">
                <c16:uniqueId val="{00000072-A681-42D2-BCA2-F45764446338}"/>
              </c:ext>
            </c:extLst>
          </c:dPt>
          <c:dPt>
            <c:idx val="8"/>
            <c:bubble3D val="0"/>
            <c:spPr>
              <a:solidFill>
                <a:schemeClr val="accent6"/>
              </a:solidFill>
              <a:ln w="19050">
                <a:solidFill>
                  <a:schemeClr val="lt1"/>
                </a:solidFill>
              </a:ln>
              <a:effectLst/>
            </c:spPr>
            <c:extLst>
              <c:ext xmlns:c16="http://schemas.microsoft.com/office/drawing/2014/chart" uri="{C3380CC4-5D6E-409C-BE32-E72D297353CC}">
                <c16:uniqueId val="{00000074-A681-42D2-BCA2-F45764446338}"/>
              </c:ext>
            </c:extLst>
          </c:dPt>
          <c:dPt>
            <c:idx val="9"/>
            <c:bubble3D val="0"/>
            <c:spPr>
              <a:solidFill>
                <a:schemeClr val="accent6"/>
              </a:solidFill>
              <a:ln w="19050">
                <a:solidFill>
                  <a:schemeClr val="lt1"/>
                </a:solidFill>
              </a:ln>
              <a:effectLst/>
            </c:spPr>
            <c:extLst>
              <c:ext xmlns:c16="http://schemas.microsoft.com/office/drawing/2014/chart" uri="{C3380CC4-5D6E-409C-BE32-E72D297353CC}">
                <c16:uniqueId val="{00000076-A681-42D2-BCA2-F45764446338}"/>
              </c:ext>
            </c:extLst>
          </c:dPt>
          <c:dPt>
            <c:idx val="10"/>
            <c:bubble3D val="0"/>
            <c:spPr>
              <a:solidFill>
                <a:schemeClr val="accent6"/>
              </a:solidFill>
              <a:ln w="19050">
                <a:solidFill>
                  <a:schemeClr val="lt1"/>
                </a:solidFill>
              </a:ln>
              <a:effectLst/>
            </c:spPr>
            <c:extLst>
              <c:ext xmlns:c16="http://schemas.microsoft.com/office/drawing/2014/chart" uri="{C3380CC4-5D6E-409C-BE32-E72D297353CC}">
                <c16:uniqueId val="{00000078-A681-42D2-BCA2-F45764446338}"/>
              </c:ext>
            </c:extLst>
          </c:dPt>
          <c:dPt>
            <c:idx val="11"/>
            <c:bubble3D val="0"/>
            <c:spPr>
              <a:solidFill>
                <a:schemeClr val="accent6"/>
              </a:solidFill>
              <a:ln w="19050">
                <a:solidFill>
                  <a:schemeClr val="lt1"/>
                </a:solidFill>
              </a:ln>
              <a:effectLst/>
            </c:spPr>
            <c:extLst>
              <c:ext xmlns:c16="http://schemas.microsoft.com/office/drawing/2014/chart" uri="{C3380CC4-5D6E-409C-BE32-E72D297353CC}">
                <c16:uniqueId val="{0000007A-A681-42D2-BCA2-F45764446338}"/>
              </c:ext>
            </c:extLst>
          </c:dPt>
          <c:dPt>
            <c:idx val="12"/>
            <c:bubble3D val="0"/>
            <c:spPr>
              <a:solidFill>
                <a:schemeClr val="accent6"/>
              </a:solidFill>
              <a:ln w="19050">
                <a:solidFill>
                  <a:schemeClr val="lt1"/>
                </a:solidFill>
              </a:ln>
              <a:effectLst/>
            </c:spPr>
            <c:extLst>
              <c:ext xmlns:c16="http://schemas.microsoft.com/office/drawing/2014/chart" uri="{C3380CC4-5D6E-409C-BE32-E72D297353CC}">
                <c16:uniqueId val="{0000007C-A681-42D2-BCA2-F45764446338}"/>
              </c:ext>
            </c:extLst>
          </c:dPt>
          <c:dPt>
            <c:idx val="13"/>
            <c:bubble3D val="0"/>
            <c:spPr>
              <a:solidFill>
                <a:schemeClr val="accent6"/>
              </a:solidFill>
              <a:ln w="19050">
                <a:solidFill>
                  <a:schemeClr val="lt1"/>
                </a:solidFill>
              </a:ln>
              <a:effectLst/>
            </c:spPr>
            <c:extLst>
              <c:ext xmlns:c16="http://schemas.microsoft.com/office/drawing/2014/chart" uri="{C3380CC4-5D6E-409C-BE32-E72D297353CC}">
                <c16:uniqueId val="{0000007E-A681-42D2-BCA2-F45764446338}"/>
              </c:ext>
            </c:extLst>
          </c:dPt>
          <c:dPt>
            <c:idx val="14"/>
            <c:bubble3D val="0"/>
            <c:spPr>
              <a:solidFill>
                <a:schemeClr val="accent6"/>
              </a:solidFill>
              <a:ln w="19050">
                <a:solidFill>
                  <a:schemeClr val="lt1"/>
                </a:solidFill>
              </a:ln>
              <a:effectLst/>
            </c:spPr>
            <c:extLst>
              <c:ext xmlns:c16="http://schemas.microsoft.com/office/drawing/2014/chart" uri="{C3380CC4-5D6E-409C-BE32-E72D297353CC}">
                <c16:uniqueId val="{00000080-A681-42D2-BCA2-F45764446338}"/>
              </c:ext>
            </c:extLst>
          </c:dPt>
          <c:dPt>
            <c:idx val="15"/>
            <c:bubble3D val="0"/>
            <c:spPr>
              <a:solidFill>
                <a:schemeClr val="accent6"/>
              </a:solidFill>
              <a:ln w="19050">
                <a:solidFill>
                  <a:schemeClr val="lt1"/>
                </a:solidFill>
              </a:ln>
              <a:effectLst/>
            </c:spPr>
            <c:extLst>
              <c:ext xmlns:c16="http://schemas.microsoft.com/office/drawing/2014/chart" uri="{C3380CC4-5D6E-409C-BE32-E72D297353CC}">
                <c16:uniqueId val="{00000082-A681-42D2-BCA2-F45764446338}"/>
              </c:ext>
            </c:extLst>
          </c:dPt>
          <c:dPt>
            <c:idx val="16"/>
            <c:bubble3D val="0"/>
            <c:spPr>
              <a:solidFill>
                <a:schemeClr val="accent6"/>
              </a:solidFill>
              <a:ln w="19050">
                <a:solidFill>
                  <a:schemeClr val="lt1"/>
                </a:solidFill>
              </a:ln>
              <a:effectLst/>
            </c:spPr>
            <c:extLst>
              <c:ext xmlns:c16="http://schemas.microsoft.com/office/drawing/2014/chart" uri="{C3380CC4-5D6E-409C-BE32-E72D297353CC}">
                <c16:uniqueId val="{00000084-A681-42D2-BCA2-F45764446338}"/>
              </c:ext>
            </c:extLst>
          </c:dPt>
          <c:dPt>
            <c:idx val="17"/>
            <c:bubble3D val="0"/>
            <c:spPr>
              <a:solidFill>
                <a:schemeClr val="accent6"/>
              </a:solidFill>
              <a:ln w="19050">
                <a:solidFill>
                  <a:schemeClr val="lt1"/>
                </a:solidFill>
              </a:ln>
              <a:effectLst/>
            </c:spPr>
            <c:extLst>
              <c:ext xmlns:c16="http://schemas.microsoft.com/office/drawing/2014/chart" uri="{C3380CC4-5D6E-409C-BE32-E72D297353CC}">
                <c16:uniqueId val="{00000086-A681-42D2-BCA2-F45764446338}"/>
              </c:ext>
            </c:extLst>
          </c:dPt>
          <c:dPt>
            <c:idx val="18"/>
            <c:bubble3D val="0"/>
            <c:spPr>
              <a:solidFill>
                <a:schemeClr val="accent6"/>
              </a:solidFill>
              <a:ln w="19050">
                <a:solidFill>
                  <a:schemeClr val="lt1"/>
                </a:solidFill>
              </a:ln>
              <a:effectLst/>
            </c:spPr>
            <c:extLst>
              <c:ext xmlns:c16="http://schemas.microsoft.com/office/drawing/2014/chart" uri="{C3380CC4-5D6E-409C-BE32-E72D297353CC}">
                <c16:uniqueId val="{00000088-A681-42D2-BCA2-F45764446338}"/>
              </c:ext>
            </c:extLst>
          </c:dPt>
          <c:dPt>
            <c:idx val="19"/>
            <c:bubble3D val="0"/>
            <c:spPr>
              <a:solidFill>
                <a:schemeClr val="accent6"/>
              </a:solidFill>
              <a:ln w="19050">
                <a:solidFill>
                  <a:schemeClr val="lt1"/>
                </a:solidFill>
              </a:ln>
              <a:effectLst/>
            </c:spPr>
            <c:extLst>
              <c:ext xmlns:c16="http://schemas.microsoft.com/office/drawing/2014/chart" uri="{C3380CC4-5D6E-409C-BE32-E72D297353CC}">
                <c16:uniqueId val="{0000008A-A681-42D2-BCA2-F45764446338}"/>
              </c:ext>
            </c:extLst>
          </c:dPt>
          <c:dPt>
            <c:idx val="20"/>
            <c:bubble3D val="0"/>
            <c:spPr>
              <a:solidFill>
                <a:schemeClr val="accent6"/>
              </a:solidFill>
              <a:ln w="19050">
                <a:solidFill>
                  <a:schemeClr val="lt1"/>
                </a:solidFill>
              </a:ln>
              <a:effectLst/>
            </c:spPr>
            <c:extLst>
              <c:ext xmlns:c16="http://schemas.microsoft.com/office/drawing/2014/chart" uri="{C3380CC4-5D6E-409C-BE32-E72D297353CC}">
                <c16:uniqueId val="{0000008C-A681-42D2-BCA2-F45764446338}"/>
              </c:ext>
            </c:extLst>
          </c:dPt>
          <c:dPt>
            <c:idx val="21"/>
            <c:bubble3D val="0"/>
            <c:spPr>
              <a:solidFill>
                <a:schemeClr val="accent6"/>
              </a:solidFill>
              <a:ln w="19050">
                <a:solidFill>
                  <a:schemeClr val="lt1"/>
                </a:solidFill>
              </a:ln>
              <a:effectLst/>
            </c:spPr>
            <c:extLst>
              <c:ext xmlns:c16="http://schemas.microsoft.com/office/drawing/2014/chart" uri="{C3380CC4-5D6E-409C-BE32-E72D297353CC}">
                <c16:uniqueId val="{0000008E-A681-42D2-BCA2-F45764446338}"/>
              </c:ext>
            </c:extLst>
          </c:dPt>
          <c:dPt>
            <c:idx val="22"/>
            <c:bubble3D val="0"/>
            <c:spPr>
              <a:solidFill>
                <a:schemeClr val="accent6"/>
              </a:solidFill>
              <a:ln w="19050">
                <a:solidFill>
                  <a:schemeClr val="lt1"/>
                </a:solidFill>
              </a:ln>
              <a:effectLst/>
            </c:spPr>
            <c:extLst>
              <c:ext xmlns:c16="http://schemas.microsoft.com/office/drawing/2014/chart" uri="{C3380CC4-5D6E-409C-BE32-E72D297353CC}">
                <c16:uniqueId val="{00000090-A681-42D2-BCA2-F45764446338}"/>
              </c:ext>
            </c:extLst>
          </c:dPt>
          <c:dPt>
            <c:idx val="23"/>
            <c:bubble3D val="0"/>
            <c:spPr>
              <a:solidFill>
                <a:schemeClr val="accent6"/>
              </a:solidFill>
              <a:ln w="19050">
                <a:solidFill>
                  <a:schemeClr val="lt1"/>
                </a:solidFill>
              </a:ln>
              <a:effectLst/>
            </c:spPr>
            <c:extLst>
              <c:ext xmlns:c16="http://schemas.microsoft.com/office/drawing/2014/chart" uri="{C3380CC4-5D6E-409C-BE32-E72D297353CC}">
                <c16:uniqueId val="{00000092-A681-42D2-BCA2-F45764446338}"/>
              </c:ext>
            </c:extLst>
          </c:dPt>
          <c:dPt>
            <c:idx val="24"/>
            <c:bubble3D val="0"/>
            <c:spPr>
              <a:solidFill>
                <a:schemeClr val="accent6"/>
              </a:solidFill>
              <a:ln w="19050">
                <a:solidFill>
                  <a:schemeClr val="lt1"/>
                </a:solidFill>
              </a:ln>
              <a:effectLst/>
            </c:spPr>
            <c:extLst>
              <c:ext xmlns:c16="http://schemas.microsoft.com/office/drawing/2014/chart" uri="{C3380CC4-5D6E-409C-BE32-E72D297353CC}">
                <c16:uniqueId val="{00000094-A681-42D2-BCA2-F45764446338}"/>
              </c:ext>
            </c:extLst>
          </c:dPt>
          <c:dPt>
            <c:idx val="25"/>
            <c:bubble3D val="0"/>
            <c:spPr>
              <a:solidFill>
                <a:schemeClr val="accent6"/>
              </a:solidFill>
              <a:ln w="19050">
                <a:solidFill>
                  <a:schemeClr val="lt1"/>
                </a:solidFill>
              </a:ln>
              <a:effectLst/>
            </c:spPr>
            <c:extLst>
              <c:ext xmlns:c16="http://schemas.microsoft.com/office/drawing/2014/chart" uri="{C3380CC4-5D6E-409C-BE32-E72D297353CC}">
                <c16:uniqueId val="{00000096-A681-42D2-BCA2-F45764446338}"/>
              </c:ext>
            </c:extLst>
          </c:dPt>
          <c:dPt>
            <c:idx val="26"/>
            <c:bubble3D val="0"/>
            <c:spPr>
              <a:solidFill>
                <a:schemeClr val="accent6"/>
              </a:solidFill>
              <a:ln w="19050">
                <a:solidFill>
                  <a:schemeClr val="lt1"/>
                </a:solidFill>
              </a:ln>
              <a:effectLst/>
            </c:spPr>
            <c:extLst>
              <c:ext xmlns:c16="http://schemas.microsoft.com/office/drawing/2014/chart" uri="{C3380CC4-5D6E-409C-BE32-E72D297353CC}">
                <c16:uniqueId val="{00000098-A681-42D2-BCA2-F45764446338}"/>
              </c:ext>
            </c:extLst>
          </c:dPt>
          <c:dPt>
            <c:idx val="27"/>
            <c:bubble3D val="0"/>
            <c:spPr>
              <a:solidFill>
                <a:schemeClr val="accent6"/>
              </a:solidFill>
              <a:ln w="19050">
                <a:solidFill>
                  <a:schemeClr val="lt1"/>
                </a:solidFill>
              </a:ln>
              <a:effectLst/>
            </c:spPr>
            <c:extLst>
              <c:ext xmlns:c16="http://schemas.microsoft.com/office/drawing/2014/chart" uri="{C3380CC4-5D6E-409C-BE32-E72D297353CC}">
                <c16:uniqueId val="{0000009A-A681-42D2-BCA2-F45764446338}"/>
              </c:ext>
            </c:extLst>
          </c:dPt>
          <c:dPt>
            <c:idx val="28"/>
            <c:bubble3D val="0"/>
            <c:spPr>
              <a:solidFill>
                <a:schemeClr val="accent6"/>
              </a:solidFill>
              <a:ln w="19050">
                <a:solidFill>
                  <a:schemeClr val="lt1"/>
                </a:solidFill>
              </a:ln>
              <a:effectLst/>
            </c:spPr>
            <c:extLst>
              <c:ext xmlns:c16="http://schemas.microsoft.com/office/drawing/2014/chart" uri="{C3380CC4-5D6E-409C-BE32-E72D297353CC}">
                <c16:uniqueId val="{0000009C-A681-42D2-BCA2-F45764446338}"/>
              </c:ext>
            </c:extLst>
          </c:dPt>
          <c:dPt>
            <c:idx val="29"/>
            <c:bubble3D val="0"/>
            <c:spPr>
              <a:solidFill>
                <a:schemeClr val="accent6"/>
              </a:solidFill>
              <a:ln w="19050">
                <a:solidFill>
                  <a:schemeClr val="lt1"/>
                </a:solidFill>
              </a:ln>
              <a:effectLst/>
            </c:spPr>
            <c:extLst>
              <c:ext xmlns:c16="http://schemas.microsoft.com/office/drawing/2014/chart" uri="{C3380CC4-5D6E-409C-BE32-E72D297353CC}">
                <c16:uniqueId val="{0000009E-A681-42D2-BCA2-F45764446338}"/>
              </c:ext>
            </c:extLst>
          </c:dPt>
          <c:dPt>
            <c:idx val="30"/>
            <c:bubble3D val="0"/>
            <c:spPr>
              <a:solidFill>
                <a:schemeClr val="accent6"/>
              </a:solidFill>
              <a:ln w="19050">
                <a:solidFill>
                  <a:schemeClr val="lt1"/>
                </a:solidFill>
              </a:ln>
              <a:effectLst/>
            </c:spPr>
            <c:extLst>
              <c:ext xmlns:c16="http://schemas.microsoft.com/office/drawing/2014/chart" uri="{C3380CC4-5D6E-409C-BE32-E72D297353CC}">
                <c16:uniqueId val="{000000A0-A681-42D2-BCA2-F45764446338}"/>
              </c:ext>
            </c:extLst>
          </c:dPt>
          <c:dPt>
            <c:idx val="31"/>
            <c:bubble3D val="0"/>
            <c:spPr>
              <a:solidFill>
                <a:schemeClr val="accent6"/>
              </a:solidFill>
              <a:ln w="19050">
                <a:solidFill>
                  <a:schemeClr val="lt1"/>
                </a:solidFill>
              </a:ln>
              <a:effectLst/>
            </c:spPr>
            <c:extLst>
              <c:ext xmlns:c16="http://schemas.microsoft.com/office/drawing/2014/chart" uri="{C3380CC4-5D6E-409C-BE32-E72D297353CC}">
                <c16:uniqueId val="{000000A2-A681-42D2-BCA2-F45764446338}"/>
              </c:ext>
            </c:extLst>
          </c:dPt>
          <c:dPt>
            <c:idx val="32"/>
            <c:bubble3D val="0"/>
            <c:spPr>
              <a:solidFill>
                <a:schemeClr val="accent6"/>
              </a:solidFill>
              <a:ln w="19050">
                <a:solidFill>
                  <a:schemeClr val="lt1"/>
                </a:solidFill>
              </a:ln>
              <a:effectLst/>
            </c:spPr>
            <c:extLst>
              <c:ext xmlns:c16="http://schemas.microsoft.com/office/drawing/2014/chart" uri="{C3380CC4-5D6E-409C-BE32-E72D297353CC}">
                <c16:uniqueId val="{000000A4-A681-42D2-BCA2-F45764446338}"/>
              </c:ext>
            </c:extLst>
          </c:dPt>
          <c:dPt>
            <c:idx val="33"/>
            <c:bubble3D val="0"/>
            <c:spPr>
              <a:solidFill>
                <a:schemeClr val="accent6"/>
              </a:solidFill>
              <a:ln w="19050">
                <a:solidFill>
                  <a:schemeClr val="lt1"/>
                </a:solidFill>
              </a:ln>
              <a:effectLst/>
            </c:spPr>
            <c:extLst>
              <c:ext xmlns:c16="http://schemas.microsoft.com/office/drawing/2014/chart" uri="{C3380CC4-5D6E-409C-BE32-E72D297353CC}">
                <c16:uniqueId val="{000000A6-A681-42D2-BCA2-F45764446338}"/>
              </c:ext>
            </c:extLst>
          </c:dPt>
          <c:dPt>
            <c:idx val="34"/>
            <c:bubble3D val="0"/>
            <c:spPr>
              <a:solidFill>
                <a:schemeClr val="accent6"/>
              </a:solidFill>
              <a:ln w="19050">
                <a:solidFill>
                  <a:schemeClr val="lt1"/>
                </a:solidFill>
              </a:ln>
              <a:effectLst/>
            </c:spPr>
            <c:extLst>
              <c:ext xmlns:c16="http://schemas.microsoft.com/office/drawing/2014/chart" uri="{C3380CC4-5D6E-409C-BE32-E72D297353CC}">
                <c16:uniqueId val="{000000A8-A681-42D2-BCA2-F45764446338}"/>
              </c:ext>
            </c:extLst>
          </c:dPt>
          <c:dPt>
            <c:idx val="35"/>
            <c:bubble3D val="0"/>
            <c:spPr>
              <a:solidFill>
                <a:schemeClr val="accent6"/>
              </a:solidFill>
              <a:ln w="19050">
                <a:solidFill>
                  <a:schemeClr val="lt1"/>
                </a:solidFill>
              </a:ln>
              <a:effectLst/>
            </c:spPr>
            <c:extLst>
              <c:ext xmlns:c16="http://schemas.microsoft.com/office/drawing/2014/chart" uri="{C3380CC4-5D6E-409C-BE32-E72D297353CC}">
                <c16:uniqueId val="{000000AA-A681-42D2-BCA2-F45764446338}"/>
              </c:ext>
            </c:extLst>
          </c:dPt>
          <c:dPt>
            <c:idx val="36"/>
            <c:bubble3D val="0"/>
            <c:spPr>
              <a:solidFill>
                <a:schemeClr val="accent6"/>
              </a:solidFill>
              <a:ln w="19050">
                <a:solidFill>
                  <a:schemeClr val="lt1"/>
                </a:solidFill>
              </a:ln>
              <a:effectLst/>
            </c:spPr>
            <c:extLst>
              <c:ext xmlns:c16="http://schemas.microsoft.com/office/drawing/2014/chart" uri="{C3380CC4-5D6E-409C-BE32-E72D297353CC}">
                <c16:uniqueId val="{000000AC-A681-42D2-BCA2-F45764446338}"/>
              </c:ext>
            </c:extLst>
          </c:dPt>
          <c:dPt>
            <c:idx val="37"/>
            <c:bubble3D val="0"/>
            <c:spPr>
              <a:solidFill>
                <a:schemeClr val="accent6"/>
              </a:solidFill>
              <a:ln w="19050">
                <a:solidFill>
                  <a:schemeClr val="lt1"/>
                </a:solidFill>
              </a:ln>
              <a:effectLst/>
            </c:spPr>
            <c:extLst>
              <c:ext xmlns:c16="http://schemas.microsoft.com/office/drawing/2014/chart" uri="{C3380CC4-5D6E-409C-BE32-E72D297353CC}">
                <c16:uniqueId val="{000000AE-A681-42D2-BCA2-F45764446338}"/>
              </c:ext>
            </c:extLst>
          </c:dPt>
          <c:dPt>
            <c:idx val="38"/>
            <c:bubble3D val="0"/>
            <c:spPr>
              <a:solidFill>
                <a:schemeClr val="accent6"/>
              </a:solidFill>
              <a:ln w="19050">
                <a:solidFill>
                  <a:schemeClr val="lt1"/>
                </a:solidFill>
              </a:ln>
              <a:effectLst/>
            </c:spPr>
            <c:extLst>
              <c:ext xmlns:c16="http://schemas.microsoft.com/office/drawing/2014/chart" uri="{C3380CC4-5D6E-409C-BE32-E72D297353CC}">
                <c16:uniqueId val="{000000B0-A681-42D2-BCA2-F45764446338}"/>
              </c:ext>
            </c:extLst>
          </c:dPt>
          <c:dPt>
            <c:idx val="39"/>
            <c:bubble3D val="0"/>
            <c:spPr>
              <a:solidFill>
                <a:schemeClr val="accent6"/>
              </a:solidFill>
              <a:ln w="19050">
                <a:solidFill>
                  <a:schemeClr val="lt1"/>
                </a:solidFill>
              </a:ln>
              <a:effectLst/>
            </c:spPr>
            <c:extLst>
              <c:ext xmlns:c16="http://schemas.microsoft.com/office/drawing/2014/chart" uri="{C3380CC4-5D6E-409C-BE32-E72D297353CC}">
                <c16:uniqueId val="{000000B2-A681-42D2-BCA2-F45764446338}"/>
              </c:ext>
            </c:extLst>
          </c:dPt>
          <c:dPt>
            <c:idx val="40"/>
            <c:bubble3D val="0"/>
            <c:spPr>
              <a:solidFill>
                <a:schemeClr val="accent6"/>
              </a:solidFill>
              <a:ln w="19050">
                <a:solidFill>
                  <a:schemeClr val="lt1"/>
                </a:solidFill>
              </a:ln>
              <a:effectLst/>
            </c:spPr>
            <c:extLst>
              <c:ext xmlns:c16="http://schemas.microsoft.com/office/drawing/2014/chart" uri="{C3380CC4-5D6E-409C-BE32-E72D297353CC}">
                <c16:uniqueId val="{000000B4-A681-42D2-BCA2-F45764446338}"/>
              </c:ext>
            </c:extLst>
          </c:dPt>
          <c:dPt>
            <c:idx val="41"/>
            <c:bubble3D val="0"/>
            <c:spPr>
              <a:solidFill>
                <a:schemeClr val="accent6"/>
              </a:solidFill>
              <a:ln w="19050">
                <a:solidFill>
                  <a:schemeClr val="lt1"/>
                </a:solidFill>
              </a:ln>
              <a:effectLst/>
            </c:spPr>
            <c:extLst>
              <c:ext xmlns:c16="http://schemas.microsoft.com/office/drawing/2014/chart" uri="{C3380CC4-5D6E-409C-BE32-E72D297353CC}">
                <c16:uniqueId val="{000000B6-A681-42D2-BCA2-F45764446338}"/>
              </c:ext>
            </c:extLst>
          </c:dPt>
          <c:dPt>
            <c:idx val="42"/>
            <c:bubble3D val="0"/>
            <c:spPr>
              <a:solidFill>
                <a:schemeClr val="accent6"/>
              </a:solidFill>
              <a:ln w="19050">
                <a:solidFill>
                  <a:schemeClr val="lt1"/>
                </a:solidFill>
              </a:ln>
              <a:effectLst/>
            </c:spPr>
            <c:extLst>
              <c:ext xmlns:c16="http://schemas.microsoft.com/office/drawing/2014/chart" uri="{C3380CC4-5D6E-409C-BE32-E72D297353CC}">
                <c16:uniqueId val="{000000B8-A681-42D2-BCA2-F45764446338}"/>
              </c:ext>
            </c:extLst>
          </c:dPt>
          <c:dPt>
            <c:idx val="43"/>
            <c:bubble3D val="0"/>
            <c:spPr>
              <a:solidFill>
                <a:schemeClr val="accent6"/>
              </a:solidFill>
              <a:ln w="19050">
                <a:solidFill>
                  <a:schemeClr val="lt1"/>
                </a:solidFill>
              </a:ln>
              <a:effectLst/>
            </c:spPr>
            <c:extLst>
              <c:ext xmlns:c16="http://schemas.microsoft.com/office/drawing/2014/chart" uri="{C3380CC4-5D6E-409C-BE32-E72D297353CC}">
                <c16:uniqueId val="{000000BA-A681-42D2-BCA2-F45764446338}"/>
              </c:ext>
            </c:extLst>
          </c:dPt>
          <c:dPt>
            <c:idx val="44"/>
            <c:bubble3D val="0"/>
            <c:spPr>
              <a:solidFill>
                <a:schemeClr val="accent6"/>
              </a:solidFill>
              <a:ln w="19050">
                <a:solidFill>
                  <a:schemeClr val="lt1"/>
                </a:solidFill>
              </a:ln>
              <a:effectLst/>
            </c:spPr>
            <c:extLst>
              <c:ext xmlns:c16="http://schemas.microsoft.com/office/drawing/2014/chart" uri="{C3380CC4-5D6E-409C-BE32-E72D297353CC}">
                <c16:uniqueId val="{000000BC-A681-42D2-BCA2-F45764446338}"/>
              </c:ext>
            </c:extLst>
          </c:dPt>
          <c:dPt>
            <c:idx val="45"/>
            <c:bubble3D val="0"/>
            <c:spPr>
              <a:solidFill>
                <a:schemeClr val="accent6"/>
              </a:solidFill>
              <a:ln w="19050">
                <a:solidFill>
                  <a:schemeClr val="lt1"/>
                </a:solidFill>
              </a:ln>
              <a:effectLst/>
            </c:spPr>
            <c:extLst>
              <c:ext xmlns:c16="http://schemas.microsoft.com/office/drawing/2014/chart" uri="{C3380CC4-5D6E-409C-BE32-E72D297353CC}">
                <c16:uniqueId val="{000000BE-A681-42D2-BCA2-F45764446338}"/>
              </c:ext>
            </c:extLst>
          </c:dPt>
          <c:dPt>
            <c:idx val="46"/>
            <c:bubble3D val="0"/>
            <c:spPr>
              <a:solidFill>
                <a:schemeClr val="accent6"/>
              </a:solidFill>
              <a:ln w="19050">
                <a:solidFill>
                  <a:schemeClr val="lt1"/>
                </a:solidFill>
              </a:ln>
              <a:effectLst/>
            </c:spPr>
            <c:extLst>
              <c:ext xmlns:c16="http://schemas.microsoft.com/office/drawing/2014/chart" uri="{C3380CC4-5D6E-409C-BE32-E72D297353CC}">
                <c16:uniqueId val="{000000C0-A681-42D2-BCA2-F45764446338}"/>
              </c:ext>
            </c:extLst>
          </c:dPt>
          <c:dPt>
            <c:idx val="47"/>
            <c:bubble3D val="0"/>
            <c:spPr>
              <a:solidFill>
                <a:schemeClr val="accent6"/>
              </a:solidFill>
              <a:ln w="19050">
                <a:solidFill>
                  <a:schemeClr val="lt1"/>
                </a:solidFill>
              </a:ln>
              <a:effectLst/>
            </c:spPr>
            <c:extLst>
              <c:ext xmlns:c16="http://schemas.microsoft.com/office/drawing/2014/chart" uri="{C3380CC4-5D6E-409C-BE32-E72D297353CC}">
                <c16:uniqueId val="{000000C2-A681-42D2-BCA2-F45764446338}"/>
              </c:ext>
            </c:extLst>
          </c:dPt>
          <c:dPt>
            <c:idx val="48"/>
            <c:bubble3D val="0"/>
            <c:spPr>
              <a:solidFill>
                <a:schemeClr val="accent6"/>
              </a:solidFill>
              <a:ln w="19050">
                <a:solidFill>
                  <a:schemeClr val="lt1"/>
                </a:solidFill>
              </a:ln>
              <a:effectLst/>
            </c:spPr>
            <c:extLst>
              <c:ext xmlns:c16="http://schemas.microsoft.com/office/drawing/2014/chart" uri="{C3380CC4-5D6E-409C-BE32-E72D297353CC}">
                <c16:uniqueId val="{000000C4-A681-42D2-BCA2-F45764446338}"/>
              </c:ext>
            </c:extLst>
          </c:dPt>
          <c:cat>
            <c:strRef>
              <c:f>Sheet4!$A$4:$A$5</c:f>
              <c:strCache>
                <c:ptCount val="1"/>
                <c:pt idx="0">
                  <c:v>As It Was</c:v>
                </c:pt>
              </c:strCache>
            </c:strRef>
          </c:cat>
          <c:val>
            <c:numRef>
              <c:f>Sheet4!$C$4:$C$5</c:f>
              <c:numCache>
                <c:formatCode>General</c:formatCode>
                <c:ptCount val="1"/>
                <c:pt idx="0">
                  <c:v>2513188493</c:v>
                </c:pt>
              </c:numCache>
            </c:numRef>
          </c:val>
          <c:extLst>
            <c:ext xmlns:c16="http://schemas.microsoft.com/office/drawing/2014/chart" uri="{C3380CC4-5D6E-409C-BE32-E72D297353CC}">
              <c16:uniqueId val="{000000C5-A681-42D2-BCA2-F4576444633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(Recovered).xlsx]Sheet5!PivotTable2</c:name>
    <c:fmtId val="1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6"/>
            </a:solidFill>
            <a:round/>
          </a:ln>
          <a:effectLst/>
        </c:spPr>
        <c:marker>
          <c:symbol val="circle"/>
          <c:size val="5"/>
          <c:spPr>
            <a:solidFill>
              <a:schemeClr val="accent6">
                <a:shade val="82000"/>
              </a:schemeClr>
            </a:solidFill>
            <a:ln w="9525">
              <a:solidFill>
                <a:schemeClr val="accent6">
                  <a:shade val="8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6"/>
            </a:solidFill>
            <a:round/>
          </a:ln>
          <a:effectLst/>
        </c:spPr>
        <c:marker>
          <c:symbol val="circle"/>
          <c:size val="5"/>
          <c:spPr>
            <a:solidFill>
              <a:schemeClr val="accent6">
                <a:shade val="47000"/>
              </a:schemeClr>
            </a:solidFill>
            <a:ln w="9525">
              <a:solidFill>
                <a:schemeClr val="accent6">
                  <a:shade val="4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Sheet5!$A$3</c:f>
              <c:strCache>
                <c:ptCount val="1"/>
                <c:pt idx="0">
                  <c:v>Sum of in_spotify_playlists</c:v>
                </c:pt>
              </c:strCache>
            </c:strRef>
          </c:tx>
          <c:spPr>
            <a:solidFill>
              <a:schemeClr val="accent6">
                <a:tint val="48000"/>
              </a:schemeClr>
            </a:solidFill>
            <a:ln>
              <a:noFill/>
            </a:ln>
            <a:effectLst/>
          </c:spPr>
          <c:invertIfNegative val="0"/>
          <c:cat>
            <c:strRef>
              <c:f>Sheet5!$A$4</c:f>
              <c:strCache>
                <c:ptCount val="1"/>
                <c:pt idx="0">
                  <c:v>Total</c:v>
                </c:pt>
              </c:strCache>
            </c:strRef>
          </c:cat>
          <c:val>
            <c:numRef>
              <c:f>Sheet5!$A$4</c:f>
              <c:numCache>
                <c:formatCode>General</c:formatCode>
                <c:ptCount val="1"/>
                <c:pt idx="0">
                  <c:v>250586</c:v>
                </c:pt>
              </c:numCache>
            </c:numRef>
          </c:val>
          <c:extLst>
            <c:ext xmlns:c16="http://schemas.microsoft.com/office/drawing/2014/chart" uri="{C3380CC4-5D6E-409C-BE32-E72D297353CC}">
              <c16:uniqueId val="{00000000-1812-4227-A3DE-C80FE546423C}"/>
            </c:ext>
          </c:extLst>
        </c:ser>
        <c:ser>
          <c:idx val="1"/>
          <c:order val="1"/>
          <c:tx>
            <c:strRef>
              <c:f>Sheet5!$B$3</c:f>
              <c:strCache>
                <c:ptCount val="1"/>
                <c:pt idx="0">
                  <c:v>Sum of in_apple_playlists</c:v>
                </c:pt>
              </c:strCache>
            </c:strRef>
          </c:tx>
          <c:spPr>
            <a:solidFill>
              <a:schemeClr val="accent6">
                <a:tint val="65000"/>
              </a:schemeClr>
            </a:solidFill>
            <a:ln>
              <a:noFill/>
            </a:ln>
            <a:effectLst/>
          </c:spPr>
          <c:invertIfNegative val="0"/>
          <c:cat>
            <c:strRef>
              <c:f>Sheet5!$A$4</c:f>
              <c:strCache>
                <c:ptCount val="1"/>
                <c:pt idx="0">
                  <c:v>Total</c:v>
                </c:pt>
              </c:strCache>
            </c:strRef>
          </c:cat>
          <c:val>
            <c:numRef>
              <c:f>Sheet5!$B$4</c:f>
              <c:numCache>
                <c:formatCode>General</c:formatCode>
                <c:ptCount val="1"/>
                <c:pt idx="0">
                  <c:v>4743</c:v>
                </c:pt>
              </c:numCache>
            </c:numRef>
          </c:val>
          <c:extLst>
            <c:ext xmlns:c16="http://schemas.microsoft.com/office/drawing/2014/chart" uri="{C3380CC4-5D6E-409C-BE32-E72D297353CC}">
              <c16:uniqueId val="{00000001-1812-4227-A3DE-C80FE546423C}"/>
            </c:ext>
          </c:extLst>
        </c:ser>
        <c:ser>
          <c:idx val="2"/>
          <c:order val="2"/>
          <c:tx>
            <c:strRef>
              <c:f>Sheet5!$C$3</c:f>
              <c:strCache>
                <c:ptCount val="1"/>
                <c:pt idx="0">
                  <c:v>Sum of in_deezer_playlists</c:v>
                </c:pt>
              </c:strCache>
            </c:strRef>
          </c:tx>
          <c:spPr>
            <a:solidFill>
              <a:schemeClr val="accent6">
                <a:tint val="83000"/>
              </a:schemeClr>
            </a:solidFill>
            <a:ln>
              <a:noFill/>
            </a:ln>
            <a:effectLst/>
          </c:spPr>
          <c:invertIfNegative val="0"/>
          <c:cat>
            <c:strRef>
              <c:f>Sheet5!$A$4</c:f>
              <c:strCache>
                <c:ptCount val="1"/>
                <c:pt idx="0">
                  <c:v>Total</c:v>
                </c:pt>
              </c:strCache>
            </c:strRef>
          </c:cat>
          <c:val>
            <c:numRef>
              <c:f>Sheet5!$C$4</c:f>
              <c:numCache>
                <c:formatCode>General</c:formatCode>
                <c:ptCount val="1"/>
                <c:pt idx="0">
                  <c:v>10291</c:v>
                </c:pt>
              </c:numCache>
            </c:numRef>
          </c:val>
          <c:extLst>
            <c:ext xmlns:c16="http://schemas.microsoft.com/office/drawing/2014/chart" uri="{C3380CC4-5D6E-409C-BE32-E72D297353CC}">
              <c16:uniqueId val="{00000002-1812-4227-A3DE-C80FE546423C}"/>
            </c:ext>
          </c:extLst>
        </c:ser>
        <c:ser>
          <c:idx val="3"/>
          <c:order val="3"/>
          <c:tx>
            <c:strRef>
              <c:f>Sheet5!$D$3</c:f>
              <c:strCache>
                <c:ptCount val="1"/>
                <c:pt idx="0">
                  <c:v>Sum of in_apple_charts</c:v>
                </c:pt>
              </c:strCache>
            </c:strRef>
          </c:tx>
          <c:spPr>
            <a:solidFill>
              <a:schemeClr val="accent6"/>
            </a:solidFill>
            <a:ln>
              <a:noFill/>
            </a:ln>
            <a:effectLst/>
          </c:spPr>
          <c:invertIfNegative val="0"/>
          <c:cat>
            <c:strRef>
              <c:f>Sheet5!$A$4</c:f>
              <c:strCache>
                <c:ptCount val="1"/>
                <c:pt idx="0">
                  <c:v>Total</c:v>
                </c:pt>
              </c:strCache>
            </c:strRef>
          </c:cat>
          <c:val>
            <c:numRef>
              <c:f>Sheet5!$D$4</c:f>
              <c:numCache>
                <c:formatCode>General</c:formatCode>
                <c:ptCount val="1"/>
                <c:pt idx="0">
                  <c:v>6971</c:v>
                </c:pt>
              </c:numCache>
            </c:numRef>
          </c:val>
          <c:extLst>
            <c:ext xmlns:c16="http://schemas.microsoft.com/office/drawing/2014/chart" uri="{C3380CC4-5D6E-409C-BE32-E72D297353CC}">
              <c16:uniqueId val="{00000003-1812-4227-A3DE-C80FE546423C}"/>
            </c:ext>
          </c:extLst>
        </c:ser>
        <c:dLbls>
          <c:showLegendKey val="0"/>
          <c:showVal val="0"/>
          <c:showCatName val="0"/>
          <c:showSerName val="0"/>
          <c:showPercent val="0"/>
          <c:showBubbleSize val="0"/>
        </c:dLbls>
        <c:gapWidth val="150"/>
        <c:axId val="130007439"/>
        <c:axId val="130003599"/>
      </c:barChart>
      <c:lineChart>
        <c:grouping val="standard"/>
        <c:varyColors val="0"/>
        <c:ser>
          <c:idx val="4"/>
          <c:order val="4"/>
          <c:tx>
            <c:strRef>
              <c:f>Sheet5!$E$3</c:f>
              <c:strCache>
                <c:ptCount val="1"/>
                <c:pt idx="0">
                  <c:v>Sum of in_deezer_charts</c:v>
                </c:pt>
              </c:strCache>
            </c:strRef>
          </c:tx>
          <c:spPr>
            <a:ln w="28575" cap="rnd">
              <a:solidFill>
                <a:schemeClr val="accent6">
                  <a:shade val="82000"/>
                </a:schemeClr>
              </a:solidFill>
              <a:round/>
            </a:ln>
            <a:effectLst/>
          </c:spPr>
          <c:marker>
            <c:symbol val="circle"/>
            <c:size val="5"/>
            <c:spPr>
              <a:solidFill>
                <a:schemeClr val="accent6">
                  <a:shade val="82000"/>
                </a:schemeClr>
              </a:solidFill>
              <a:ln w="9525">
                <a:solidFill>
                  <a:schemeClr val="accent6">
                    <a:shade val="82000"/>
                  </a:schemeClr>
                </a:solidFill>
              </a:ln>
              <a:effectLst/>
            </c:spPr>
          </c:marker>
          <c:cat>
            <c:strRef>
              <c:f>Sheet5!$A$4</c:f>
              <c:strCache>
                <c:ptCount val="1"/>
                <c:pt idx="0">
                  <c:v>Total</c:v>
                </c:pt>
              </c:strCache>
            </c:strRef>
          </c:cat>
          <c:val>
            <c:numRef>
              <c:f>Sheet5!$E$4</c:f>
              <c:numCache>
                <c:formatCode>General</c:formatCode>
                <c:ptCount val="1"/>
                <c:pt idx="0">
                  <c:v>658</c:v>
                </c:pt>
              </c:numCache>
            </c:numRef>
          </c:val>
          <c:smooth val="0"/>
          <c:extLst>
            <c:ext xmlns:c16="http://schemas.microsoft.com/office/drawing/2014/chart" uri="{C3380CC4-5D6E-409C-BE32-E72D297353CC}">
              <c16:uniqueId val="{00000004-1812-4227-A3DE-C80FE546423C}"/>
            </c:ext>
          </c:extLst>
        </c:ser>
        <c:ser>
          <c:idx val="5"/>
          <c:order val="5"/>
          <c:tx>
            <c:strRef>
              <c:f>Sheet5!$F$3</c:f>
              <c:strCache>
                <c:ptCount val="1"/>
                <c:pt idx="0">
                  <c:v>Sum of in_spotify_charts</c:v>
                </c:pt>
              </c:strCache>
            </c:strRef>
          </c:tx>
          <c:spPr>
            <a:ln w="28575" cap="rnd">
              <a:solidFill>
                <a:schemeClr val="accent6">
                  <a:shade val="65000"/>
                </a:schemeClr>
              </a:solidFill>
              <a:round/>
            </a:ln>
            <a:effectLst/>
          </c:spPr>
          <c:marker>
            <c:symbol val="circle"/>
            <c:size val="5"/>
            <c:spPr>
              <a:solidFill>
                <a:schemeClr val="accent6">
                  <a:shade val="65000"/>
                </a:schemeClr>
              </a:solidFill>
              <a:ln w="9525">
                <a:solidFill>
                  <a:schemeClr val="accent6">
                    <a:shade val="65000"/>
                  </a:schemeClr>
                </a:solidFill>
              </a:ln>
              <a:effectLst/>
            </c:spPr>
          </c:marker>
          <c:cat>
            <c:strRef>
              <c:f>Sheet5!$A$4</c:f>
              <c:strCache>
                <c:ptCount val="1"/>
                <c:pt idx="0">
                  <c:v>Total</c:v>
                </c:pt>
              </c:strCache>
            </c:strRef>
          </c:cat>
          <c:val>
            <c:numRef>
              <c:f>Sheet5!$F$4</c:f>
              <c:numCache>
                <c:formatCode>General</c:formatCode>
                <c:ptCount val="1"/>
                <c:pt idx="0">
                  <c:v>3190</c:v>
                </c:pt>
              </c:numCache>
            </c:numRef>
          </c:val>
          <c:smooth val="0"/>
          <c:extLst>
            <c:ext xmlns:c16="http://schemas.microsoft.com/office/drawing/2014/chart" uri="{C3380CC4-5D6E-409C-BE32-E72D297353CC}">
              <c16:uniqueId val="{00000005-1812-4227-A3DE-C80FE546423C}"/>
            </c:ext>
          </c:extLst>
        </c:ser>
        <c:ser>
          <c:idx val="6"/>
          <c:order val="6"/>
          <c:tx>
            <c:strRef>
              <c:f>Sheet5!$G$3</c:f>
              <c:strCache>
                <c:ptCount val="1"/>
                <c:pt idx="0">
                  <c:v>Sum of released_year</c:v>
                </c:pt>
              </c:strCache>
            </c:strRef>
          </c:tx>
          <c:spPr>
            <a:ln w="28575" cap="rnd">
              <a:solidFill>
                <a:schemeClr val="accent6">
                  <a:shade val="47000"/>
                </a:schemeClr>
              </a:solidFill>
              <a:round/>
            </a:ln>
            <a:effectLst/>
          </c:spPr>
          <c:marker>
            <c:symbol val="circle"/>
            <c:size val="5"/>
            <c:spPr>
              <a:solidFill>
                <a:schemeClr val="accent6">
                  <a:shade val="47000"/>
                </a:schemeClr>
              </a:solidFill>
              <a:ln w="9525">
                <a:solidFill>
                  <a:schemeClr val="accent6">
                    <a:shade val="47000"/>
                  </a:schemeClr>
                </a:solidFill>
              </a:ln>
              <a:effectLst/>
            </c:spPr>
          </c:marker>
          <c:cat>
            <c:strRef>
              <c:f>Sheet5!$A$4</c:f>
              <c:strCache>
                <c:ptCount val="1"/>
                <c:pt idx="0">
                  <c:v>Total</c:v>
                </c:pt>
              </c:strCache>
            </c:strRef>
          </c:cat>
          <c:val>
            <c:numRef>
              <c:f>Sheet5!$G$4</c:f>
              <c:numCache>
                <c:formatCode>General</c:formatCode>
                <c:ptCount val="1"/>
                <c:pt idx="0">
                  <c:v>99060</c:v>
                </c:pt>
              </c:numCache>
            </c:numRef>
          </c:val>
          <c:smooth val="0"/>
          <c:extLst>
            <c:ext xmlns:c16="http://schemas.microsoft.com/office/drawing/2014/chart" uri="{C3380CC4-5D6E-409C-BE32-E72D297353CC}">
              <c16:uniqueId val="{00000006-1812-4227-A3DE-C80FE546423C}"/>
            </c:ext>
          </c:extLst>
        </c:ser>
        <c:dLbls>
          <c:showLegendKey val="0"/>
          <c:showVal val="0"/>
          <c:showCatName val="0"/>
          <c:showSerName val="0"/>
          <c:showPercent val="0"/>
          <c:showBubbleSize val="0"/>
        </c:dLbls>
        <c:marker val="1"/>
        <c:smooth val="0"/>
        <c:axId val="130007439"/>
        <c:axId val="130003599"/>
      </c:lineChart>
      <c:catAx>
        <c:axId val="13000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3599"/>
        <c:crosses val="autoZero"/>
        <c:auto val="1"/>
        <c:lblAlgn val="ctr"/>
        <c:lblOffset val="100"/>
        <c:noMultiLvlLbl val="0"/>
      </c:catAx>
      <c:valAx>
        <c:axId val="13000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07439"/>
        <c:crosses val="autoZero"/>
        <c:crossBetween val="between"/>
      </c:valAx>
      <c:spPr>
        <a:noFill/>
        <a:ln>
          <a:noFill/>
        </a:ln>
        <a:effectLst/>
      </c:spPr>
    </c:plotArea>
    <c:legend>
      <c:legendPos val="r"/>
      <c:layout>
        <c:manualLayout>
          <c:xMode val="edge"/>
          <c:yMode val="edge"/>
          <c:x val="0.64739871980004537"/>
          <c:y val="6.6402559055118104E-2"/>
          <c:w val="0.34927533726894516"/>
          <c:h val="0.867194881889763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(Recovered).xlsx]Sheet6!PivotTable4</c:name>
    <c:fmtId val="25"/>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Sheet6!$B$3</c:f>
              <c:strCache>
                <c:ptCount val="1"/>
                <c:pt idx="0">
                  <c:v>Sum of in_deezer_playlists</c:v>
                </c:pt>
              </c:strCache>
            </c:strRef>
          </c:tx>
          <c:spPr>
            <a:solidFill>
              <a:schemeClr val="accent6">
                <a:tint val="65000"/>
              </a:schemeClr>
            </a:solidFill>
            <a:ln>
              <a:noFill/>
            </a:ln>
            <a:effectLst/>
            <a:sp3d/>
          </c:spPr>
          <c:cat>
            <c:strRef>
              <c:f>Sheet6!$A$4:$A$8</c:f>
              <c:strCache>
                <c:ptCount val="4"/>
                <c:pt idx="0">
                  <c:v>0</c:v>
                </c:pt>
                <c:pt idx="1">
                  <c:v>2</c:v>
                </c:pt>
                <c:pt idx="2">
                  <c:v>17</c:v>
                </c:pt>
                <c:pt idx="3">
                  <c:v>63</c:v>
                </c:pt>
              </c:strCache>
            </c:strRef>
          </c:cat>
          <c:val>
            <c:numRef>
              <c:f>Sheet6!$B$4:$B$8</c:f>
              <c:numCache>
                <c:formatCode>General</c:formatCode>
                <c:ptCount val="4"/>
                <c:pt idx="0">
                  <c:v>9461</c:v>
                </c:pt>
                <c:pt idx="1">
                  <c:v>582</c:v>
                </c:pt>
                <c:pt idx="2">
                  <c:v>161</c:v>
                </c:pt>
                <c:pt idx="3">
                  <c:v>87</c:v>
                </c:pt>
              </c:numCache>
            </c:numRef>
          </c:val>
          <c:extLst>
            <c:ext xmlns:c16="http://schemas.microsoft.com/office/drawing/2014/chart" uri="{C3380CC4-5D6E-409C-BE32-E72D297353CC}">
              <c16:uniqueId val="{00000000-1929-41BB-A403-41572887D556}"/>
            </c:ext>
          </c:extLst>
        </c:ser>
        <c:ser>
          <c:idx val="1"/>
          <c:order val="1"/>
          <c:tx>
            <c:strRef>
              <c:f>Sheet6!$C$3</c:f>
              <c:strCache>
                <c:ptCount val="1"/>
                <c:pt idx="0">
                  <c:v>Sum of in_deezer_charts</c:v>
                </c:pt>
              </c:strCache>
            </c:strRef>
          </c:tx>
          <c:spPr>
            <a:solidFill>
              <a:schemeClr val="accent6"/>
            </a:solidFill>
            <a:ln>
              <a:noFill/>
            </a:ln>
            <a:effectLst/>
            <a:sp3d/>
          </c:spPr>
          <c:cat>
            <c:strRef>
              <c:f>Sheet6!$A$4:$A$8</c:f>
              <c:strCache>
                <c:ptCount val="4"/>
                <c:pt idx="0">
                  <c:v>0</c:v>
                </c:pt>
                <c:pt idx="1">
                  <c:v>2</c:v>
                </c:pt>
                <c:pt idx="2">
                  <c:v>17</c:v>
                </c:pt>
                <c:pt idx="3">
                  <c:v>63</c:v>
                </c:pt>
              </c:strCache>
            </c:strRef>
          </c:cat>
          <c:val>
            <c:numRef>
              <c:f>Sheet6!$C$4:$C$8</c:f>
              <c:numCache>
                <c:formatCode>General</c:formatCode>
                <c:ptCount val="4"/>
                <c:pt idx="0">
                  <c:v>629</c:v>
                </c:pt>
                <c:pt idx="1">
                  <c:v>2</c:v>
                </c:pt>
                <c:pt idx="2">
                  <c:v>12</c:v>
                </c:pt>
                <c:pt idx="3">
                  <c:v>15</c:v>
                </c:pt>
              </c:numCache>
            </c:numRef>
          </c:val>
          <c:extLst>
            <c:ext xmlns:c16="http://schemas.microsoft.com/office/drawing/2014/chart" uri="{C3380CC4-5D6E-409C-BE32-E72D297353CC}">
              <c16:uniqueId val="{00000001-1929-41BB-A403-41572887D556}"/>
            </c:ext>
          </c:extLst>
        </c:ser>
        <c:ser>
          <c:idx val="2"/>
          <c:order val="2"/>
          <c:tx>
            <c:strRef>
              <c:f>Sheet6!$D$3</c:f>
              <c:strCache>
                <c:ptCount val="1"/>
                <c:pt idx="0">
                  <c:v>Sum of in_shazam_charts</c:v>
                </c:pt>
              </c:strCache>
            </c:strRef>
          </c:tx>
          <c:spPr>
            <a:solidFill>
              <a:schemeClr val="accent6">
                <a:shade val="65000"/>
              </a:schemeClr>
            </a:solidFill>
            <a:ln>
              <a:noFill/>
            </a:ln>
            <a:effectLst/>
            <a:sp3d/>
          </c:spPr>
          <c:cat>
            <c:strRef>
              <c:f>Sheet6!$A$4:$A$8</c:f>
              <c:strCache>
                <c:ptCount val="4"/>
                <c:pt idx="0">
                  <c:v>0</c:v>
                </c:pt>
                <c:pt idx="1">
                  <c:v>2</c:v>
                </c:pt>
                <c:pt idx="2">
                  <c:v>17</c:v>
                </c:pt>
                <c:pt idx="3">
                  <c:v>63</c:v>
                </c:pt>
              </c:strCache>
            </c:strRef>
          </c:cat>
          <c:val>
            <c:numRef>
              <c:f>Sheet6!$D$4:$D$8</c:f>
              <c:numCache>
                <c:formatCode>General</c:formatCode>
                <c:ptCount val="4"/>
                <c:pt idx="0">
                  <c:v>16823</c:v>
                </c:pt>
                <c:pt idx="1">
                  <c:v>73</c:v>
                </c:pt>
                <c:pt idx="2">
                  <c:v>187</c:v>
                </c:pt>
                <c:pt idx="3">
                  <c:v>425</c:v>
                </c:pt>
              </c:numCache>
            </c:numRef>
          </c:val>
          <c:extLst>
            <c:ext xmlns:c16="http://schemas.microsoft.com/office/drawing/2014/chart" uri="{C3380CC4-5D6E-409C-BE32-E72D297353CC}">
              <c16:uniqueId val="{00000002-1929-41BB-A403-41572887D556}"/>
            </c:ext>
          </c:extLst>
        </c:ser>
        <c:dLbls>
          <c:showLegendKey val="0"/>
          <c:showVal val="0"/>
          <c:showCatName val="0"/>
          <c:showSerName val="0"/>
          <c:showPercent val="0"/>
          <c:showBubbleSize val="0"/>
        </c:dLbls>
        <c:axId val="130029039"/>
        <c:axId val="130030959"/>
        <c:axId val="1043105631"/>
      </c:area3DChart>
      <c:catAx>
        <c:axId val="1300290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0959"/>
        <c:crosses val="autoZero"/>
        <c:auto val="1"/>
        <c:lblAlgn val="ctr"/>
        <c:lblOffset val="100"/>
        <c:noMultiLvlLbl val="0"/>
      </c:catAx>
      <c:valAx>
        <c:axId val="1300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29039"/>
        <c:crosses val="autoZero"/>
        <c:crossBetween val="midCat"/>
      </c:valAx>
      <c:serAx>
        <c:axId val="10431056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0959"/>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[Spotify Most Streamed Songs (Recovered).xlsx]Sheet7!PivotTable7</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Sheet7!$B$3</c:f>
              <c:strCache>
                <c:ptCount val="1"/>
                <c:pt idx="0">
                  <c:v>Total</c:v>
                </c:pt>
              </c:strCache>
            </c:strRef>
          </c:tx>
          <c:spPr>
            <a:solidFill>
              <a:schemeClr val="accent6"/>
            </a:solidFill>
            <a:ln>
              <a:noFill/>
            </a:ln>
            <a:effectLst/>
            <a:sp3d/>
          </c:spPr>
          <c:cat>
            <c:strRef>
              <c:f>Sheet7!$A$4:$A$53</c:f>
              <c:strCache>
                <c:ptCount val="49"/>
                <c:pt idx="0">
                  <c:v>Angels Like You</c:v>
                </c:pt>
                <c:pt idx="1">
                  <c:v>Anti-Hero</c:v>
                </c:pt>
                <c:pt idx="2">
                  <c:v>As It Was</c:v>
                </c:pt>
                <c:pt idx="3">
                  <c:v>Barbie World (with Aqua) </c:v>
                </c:pt>
                <c:pt idx="4">
                  <c:v>Blank Space</c:v>
                </c:pt>
                <c:pt idx="5">
                  <c:v>Calm Down (with Selena Gomez)</c:v>
                </c:pt>
                <c:pt idx="6">
                  <c:v>Classy 101</c:v>
                </c:pt>
                <c:pt idx="7">
                  <c:v>Columbia</c:v>
                </c:pt>
                <c:pt idx="8">
                  <c:v>Creepin'</c:v>
                </c:pt>
                <c:pt idx="9">
                  <c:v>Cruel Summer</c:v>
                </c:pt>
                <c:pt idx="10">
                  <c:v>Cupid - Twin Ver.</c:v>
                </c:pt>
                <c:pt idx="11">
                  <c:v>Dance The Night (From Barbie The Album)</c:v>
                </c:pt>
                <c:pt idx="12">
                  <c:v>Daylight</c:v>
                </c:pt>
                <c:pt idx="13">
                  <c:v>Die For You</c:v>
                </c:pt>
                <c:pt idx="14">
                  <c:v>El Azul</c:v>
                </c:pt>
                <c:pt idx="15">
                  <c:v>Ella Baila Sola</c:v>
                </c:pt>
                <c:pt idx="16">
                  <c:v>Flowers</c:v>
                </c:pt>
                <c:pt idx="17">
                  <c:v>FrÃ¯Â¿Â½Ã¯Â¿Â½gil (feat. Grupo Front</c:v>
                </c:pt>
                <c:pt idx="18">
                  <c:v>fukumean</c:v>
                </c:pt>
                <c:pt idx="19">
                  <c:v>I Ain't Worried</c:v>
                </c:pt>
                <c:pt idx="20">
                  <c:v>I Can See You </c:v>
                </c:pt>
                <c:pt idx="21">
                  <c:v>I Wanna Be Yours</c:v>
                </c:pt>
                <c:pt idx="22">
                  <c:v>I'm Good (Blue)</c:v>
                </c:pt>
                <c:pt idx="23">
                  <c:v>Kill Bill</c:v>
                </c:pt>
                <c:pt idx="24">
                  <c:v>La Bebe - Remix</c:v>
                </c:pt>
                <c:pt idx="25">
                  <c:v>LADY GAGA</c:v>
                </c:pt>
                <c:pt idx="26">
                  <c:v>LALA</c:v>
                </c:pt>
                <c:pt idx="27">
                  <c:v>Last Night</c:v>
                </c:pt>
                <c:pt idx="28">
                  <c:v>Like Crazy</c:v>
                </c:pt>
                <c:pt idx="29">
                  <c:v>Los del Espacio</c:v>
                </c:pt>
                <c:pt idx="30">
                  <c:v>MOJABI GHOST</c:v>
                </c:pt>
                <c:pt idx="31">
                  <c:v>Peso Pluma: Bzrp Music Sessions, Vol. 55</c:v>
                </c:pt>
                <c:pt idx="32">
                  <c:v>Popular (with Playboi Carti &amp; Madonna) </c:v>
                </c:pt>
                <c:pt idx="33">
                  <c:v>Rush</c:v>
                </c:pt>
                <c:pt idx="34">
                  <c:v>SABOR FRESA</c:v>
                </c:pt>
                <c:pt idx="35">
                  <c:v>See You Again</c:v>
                </c:pt>
                <c:pt idx="36">
                  <c:v>Seven (feat. Latto) (Explicit Ver.)</c:v>
                </c:pt>
                <c:pt idx="37">
                  <c:v>Sprinter</c:v>
                </c:pt>
                <c:pt idx="38">
                  <c:v>Starboy</c:v>
                </c:pt>
                <c:pt idx="39">
                  <c:v>Style</c:v>
                </c:pt>
                <c:pt idx="40">
                  <c:v>Sunflower - Spider-Man: Into the Spider-Verse</c:v>
                </c:pt>
                <c:pt idx="41">
                  <c:v>Super Shy</c:v>
                </c:pt>
                <c:pt idx="42">
                  <c:v>TQG</c:v>
                </c:pt>
                <c:pt idx="43">
                  <c:v>TQM</c:v>
                </c:pt>
                <c:pt idx="44">
                  <c:v>TULUM</c:v>
                </c:pt>
                <c:pt idx="45">
                  <c:v>un x100to</c:v>
                </c:pt>
                <c:pt idx="46">
                  <c:v>vampire</c:v>
                </c:pt>
                <c:pt idx="47">
                  <c:v>What Was I Made For? </c:v>
                </c:pt>
                <c:pt idx="48">
                  <c:v>WHERE SHE GOES</c:v>
                </c:pt>
              </c:strCache>
            </c:strRef>
          </c:cat>
          <c:val>
            <c:numRef>
              <c:f>Sheet7!$B$4:$B$53</c:f>
              <c:numCache>
                <c:formatCode>General</c:formatCode>
                <c:ptCount val="49"/>
                <c:pt idx="0">
                  <c:v>2020</c:v>
                </c:pt>
                <c:pt idx="1">
                  <c:v>2022</c:v>
                </c:pt>
                <c:pt idx="2">
                  <c:v>2022</c:v>
                </c:pt>
                <c:pt idx="3">
                  <c:v>2023</c:v>
                </c:pt>
                <c:pt idx="4">
                  <c:v>2014</c:v>
                </c:pt>
                <c:pt idx="5">
                  <c:v>2022</c:v>
                </c:pt>
                <c:pt idx="6">
                  <c:v>2023</c:v>
                </c:pt>
                <c:pt idx="7">
                  <c:v>2023</c:v>
                </c:pt>
                <c:pt idx="8">
                  <c:v>2022</c:v>
                </c:pt>
                <c:pt idx="9">
                  <c:v>2019</c:v>
                </c:pt>
                <c:pt idx="10">
                  <c:v>2023</c:v>
                </c:pt>
                <c:pt idx="11">
                  <c:v>2023</c:v>
                </c:pt>
                <c:pt idx="12">
                  <c:v>2023</c:v>
                </c:pt>
                <c:pt idx="13">
                  <c:v>2016</c:v>
                </c:pt>
                <c:pt idx="14">
                  <c:v>2023</c:v>
                </c:pt>
                <c:pt idx="15">
                  <c:v>2023</c:v>
                </c:pt>
                <c:pt idx="16">
                  <c:v>2023</c:v>
                </c:pt>
                <c:pt idx="17">
                  <c:v>2023</c:v>
                </c:pt>
                <c:pt idx="18">
                  <c:v>2023</c:v>
                </c:pt>
                <c:pt idx="19">
                  <c:v>2022</c:v>
                </c:pt>
                <c:pt idx="20">
                  <c:v>2023</c:v>
                </c:pt>
                <c:pt idx="21">
                  <c:v>2013</c:v>
                </c:pt>
                <c:pt idx="22">
                  <c:v>2022</c:v>
                </c:pt>
                <c:pt idx="23">
                  <c:v>2022</c:v>
                </c:pt>
                <c:pt idx="24">
                  <c:v>2023</c:v>
                </c:pt>
                <c:pt idx="25">
                  <c:v>2023</c:v>
                </c:pt>
                <c:pt idx="26">
                  <c:v>2023</c:v>
                </c:pt>
                <c:pt idx="27">
                  <c:v>2023</c:v>
                </c:pt>
                <c:pt idx="28">
                  <c:v>2023</c:v>
                </c:pt>
                <c:pt idx="29">
                  <c:v>2023</c:v>
                </c:pt>
                <c:pt idx="30">
                  <c:v>2023</c:v>
                </c:pt>
                <c:pt idx="31">
                  <c:v>2023</c:v>
                </c:pt>
                <c:pt idx="32">
                  <c:v>2023</c:v>
                </c:pt>
                <c:pt idx="33">
                  <c:v>2023</c:v>
                </c:pt>
                <c:pt idx="34">
                  <c:v>2023</c:v>
                </c:pt>
                <c:pt idx="35">
                  <c:v>2017</c:v>
                </c:pt>
                <c:pt idx="36">
                  <c:v>2023</c:v>
                </c:pt>
                <c:pt idx="37">
                  <c:v>2023</c:v>
                </c:pt>
                <c:pt idx="38">
                  <c:v>2016</c:v>
                </c:pt>
                <c:pt idx="39">
                  <c:v>2014</c:v>
                </c:pt>
                <c:pt idx="40">
                  <c:v>2018</c:v>
                </c:pt>
                <c:pt idx="41">
                  <c:v>2023</c:v>
                </c:pt>
                <c:pt idx="42">
                  <c:v>2023</c:v>
                </c:pt>
                <c:pt idx="43">
                  <c:v>2023</c:v>
                </c:pt>
                <c:pt idx="44">
                  <c:v>2023</c:v>
                </c:pt>
                <c:pt idx="45">
                  <c:v>2023</c:v>
                </c:pt>
                <c:pt idx="46">
                  <c:v>2023</c:v>
                </c:pt>
                <c:pt idx="47">
                  <c:v>2023</c:v>
                </c:pt>
                <c:pt idx="48">
                  <c:v>2023</c:v>
                </c:pt>
              </c:numCache>
            </c:numRef>
          </c:val>
          <c:extLst>
            <c:ext xmlns:c16="http://schemas.microsoft.com/office/drawing/2014/chart" uri="{C3380CC4-5D6E-409C-BE32-E72D297353CC}">
              <c16:uniqueId val="{00000000-D231-4EFA-8558-D4CB36AAC00D}"/>
            </c:ext>
          </c:extLst>
        </c:ser>
        <c:dLbls>
          <c:showLegendKey val="0"/>
          <c:showVal val="0"/>
          <c:showCatName val="0"/>
          <c:showSerName val="0"/>
          <c:showPercent val="0"/>
          <c:showBubbleSize val="0"/>
        </c:dLbls>
        <c:axId val="1133452175"/>
        <c:axId val="1133468975"/>
        <c:axId val="0"/>
      </c:area3DChart>
      <c:catAx>
        <c:axId val="113345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68975"/>
        <c:crosses val="autoZero"/>
        <c:auto val="1"/>
        <c:lblAlgn val="ctr"/>
        <c:lblOffset val="100"/>
        <c:noMultiLvlLbl val="0"/>
      </c:catAx>
      <c:valAx>
        <c:axId val="113346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4521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685800</xdr:colOff>
      <xdr:row>9</xdr:row>
      <xdr:rowOff>41910</xdr:rowOff>
    </xdr:from>
    <xdr:to>
      <xdr:col>3</xdr:col>
      <xdr:colOff>1272540</xdr:colOff>
      <xdr:row>24</xdr:row>
      <xdr:rowOff>41910</xdr:rowOff>
    </xdr:to>
    <xdr:graphicFrame macro="">
      <xdr:nvGraphicFramePr>
        <xdr:cNvPr id="2" name="Chart 1">
          <a:extLst>
            <a:ext uri="{FF2B5EF4-FFF2-40B4-BE49-F238E27FC236}">
              <a16:creationId xmlns:a16="http://schemas.microsoft.com/office/drawing/2014/main" id="{CA4D5DE2-37C4-5267-3E77-8187390C3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274320</xdr:colOff>
      <xdr:row>2</xdr:row>
      <xdr:rowOff>38100</xdr:rowOff>
    </xdr:from>
    <xdr:to>
      <xdr:col>7</xdr:col>
      <xdr:colOff>274320</xdr:colOff>
      <xdr:row>15</xdr:row>
      <xdr:rowOff>127635</xdr:rowOff>
    </xdr:to>
    <mc:AlternateContent xmlns:mc="http://schemas.openxmlformats.org/markup-compatibility/2006">
      <mc:Choice xmlns:a14="http://schemas.microsoft.com/office/drawing/2010/main" Requires="a14">
        <xdr:graphicFrame macro="">
          <xdr:nvGraphicFramePr>
            <xdr:cNvPr id="4" name="in_shazam_charts">
              <a:extLst>
                <a:ext uri="{FF2B5EF4-FFF2-40B4-BE49-F238E27FC236}">
                  <a16:creationId xmlns:a16="http://schemas.microsoft.com/office/drawing/2014/main" id="{22484E06-5C3B-4324-BE8D-53E26F7B3B5E}"/>
                </a:ext>
              </a:extLst>
            </xdr:cNvPr>
            <xdr:cNvGraphicFramePr/>
          </xdr:nvGraphicFramePr>
          <xdr:xfrm>
            <a:off x="0" y="0"/>
            <a:ext cx="0" cy="0"/>
          </xdr:xfrm>
          <a:graphic>
            <a:graphicData uri="http://schemas.microsoft.com/office/drawing/2010/slicer">
              <sle:slicer xmlns:sle="http://schemas.microsoft.com/office/drawing/2010/slicer" name="in_shazam_charts"/>
            </a:graphicData>
          </a:graphic>
        </xdr:graphicFrame>
      </mc:Choice>
      <mc:Fallback>
        <xdr:sp macro="" textlink="">
          <xdr:nvSpPr>
            <xdr:cNvPr id="0" name=""/>
            <xdr:cNvSpPr>
              <a:spLocks noTextEdit="1"/>
            </xdr:cNvSpPr>
          </xdr:nvSpPr>
          <xdr:spPr>
            <a:xfrm>
              <a:off x="582168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10</xdr:row>
      <xdr:rowOff>102870</xdr:rowOff>
    </xdr:from>
    <xdr:to>
      <xdr:col>3</xdr:col>
      <xdr:colOff>922020</xdr:colOff>
      <xdr:row>25</xdr:row>
      <xdr:rowOff>102870</xdr:rowOff>
    </xdr:to>
    <xdr:graphicFrame macro="">
      <xdr:nvGraphicFramePr>
        <xdr:cNvPr id="2" name="Chart 1">
          <a:extLst>
            <a:ext uri="{FF2B5EF4-FFF2-40B4-BE49-F238E27FC236}">
              <a16:creationId xmlns:a16="http://schemas.microsoft.com/office/drawing/2014/main" id="{C8F2B4EB-C3CE-9390-32AA-1A4FFFA0A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428625</xdr:colOff>
      <xdr:row>3</xdr:row>
      <xdr:rowOff>152400</xdr:rowOff>
    </xdr:from>
    <xdr:to>
      <xdr:col>9</xdr:col>
      <xdr:colOff>102054</xdr:colOff>
      <xdr:row>19</xdr:row>
      <xdr:rowOff>65315</xdr:rowOff>
    </xdr:to>
    <xdr:graphicFrame macro="">
      <xdr:nvGraphicFramePr>
        <xdr:cNvPr id="2" name="Chart 1">
          <a:extLst>
            <a:ext uri="{FF2B5EF4-FFF2-40B4-BE49-F238E27FC236}">
              <a16:creationId xmlns:a16="http://schemas.microsoft.com/office/drawing/2014/main" id="{50B56205-C5D0-67A2-5F4A-950746B18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772886</xdr:colOff>
      <xdr:row>22</xdr:row>
      <xdr:rowOff>50618</xdr:rowOff>
    </xdr:from>
    <xdr:to>
      <xdr:col>5</xdr:col>
      <xdr:colOff>152400</xdr:colOff>
      <xdr:row>36</xdr:row>
      <xdr:rowOff>41093</xdr:rowOff>
    </xdr:to>
    <mc:AlternateContent xmlns:mc="http://schemas.openxmlformats.org/markup-compatibility/2006">
      <mc:Choice xmlns:a14="http://schemas.microsoft.com/office/drawing/2010/main" Requires="a14">
        <xdr:graphicFrame macro="">
          <xdr:nvGraphicFramePr>
            <xdr:cNvPr id="3" name="artist(s)_name">
              <a:extLst>
                <a:ext uri="{FF2B5EF4-FFF2-40B4-BE49-F238E27FC236}">
                  <a16:creationId xmlns:a16="http://schemas.microsoft.com/office/drawing/2014/main" id="{514D4670-1F85-6D13-176D-559AC5C8C5F6}"/>
                </a:ext>
              </a:extLst>
            </xdr:cNvPr>
            <xdr:cNvGraphicFramePr/>
          </xdr:nvGraphicFramePr>
          <xdr:xfrm>
            <a:off x="0" y="0"/>
            <a:ext cx="0" cy="0"/>
          </xdr:xfrm>
          <a:graphic>
            <a:graphicData uri="http://schemas.microsoft.com/office/drawing/2010/slicer">
              <sle:slicer xmlns:sle="http://schemas.microsoft.com/office/drawing/2010/slicer" name="artist(s)_name"/>
            </a:graphicData>
          </a:graphic>
        </xdr:graphicFrame>
      </mc:Choice>
      <mc:Fallback>
        <xdr:sp macro="" textlink="">
          <xdr:nvSpPr>
            <xdr:cNvPr id="0" name=""/>
            <xdr:cNvSpPr>
              <a:spLocks noTextEdit="1"/>
            </xdr:cNvSpPr>
          </xdr:nvSpPr>
          <xdr:spPr>
            <a:xfrm>
              <a:off x="5644243" y="394226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601980</xdr:colOff>
      <xdr:row>6</xdr:row>
      <xdr:rowOff>140970</xdr:rowOff>
    </xdr:from>
    <xdr:to>
      <xdr:col>6</xdr:col>
      <xdr:colOff>45720</xdr:colOff>
      <xdr:row>21</xdr:row>
      <xdr:rowOff>140970</xdr:rowOff>
    </xdr:to>
    <xdr:graphicFrame macro="">
      <xdr:nvGraphicFramePr>
        <xdr:cNvPr id="3" name="Chart 2">
          <a:extLst>
            <a:ext uri="{FF2B5EF4-FFF2-40B4-BE49-F238E27FC236}">
              <a16:creationId xmlns:a16="http://schemas.microsoft.com/office/drawing/2014/main" id="{E56287C8-BA38-F443-BE75-6F80EB229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426720</xdr:colOff>
      <xdr:row>9</xdr:row>
      <xdr:rowOff>118110</xdr:rowOff>
    </xdr:from>
    <xdr:to>
      <xdr:col>5</xdr:col>
      <xdr:colOff>190500</xdr:colOff>
      <xdr:row>18</xdr:row>
      <xdr:rowOff>152400</xdr:rowOff>
    </xdr:to>
    <xdr:graphicFrame macro="">
      <xdr:nvGraphicFramePr>
        <xdr:cNvPr id="2" name="Chart 1">
          <a:extLst>
            <a:ext uri="{FF2B5EF4-FFF2-40B4-BE49-F238E27FC236}">
              <a16:creationId xmlns:a16="http://schemas.microsoft.com/office/drawing/2014/main" id="{9F4CA48F-AB31-2E00-67FB-5EFA1C6A0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1287780</xdr:colOff>
      <xdr:row>8</xdr:row>
      <xdr:rowOff>60960</xdr:rowOff>
    </xdr:from>
    <xdr:to>
      <xdr:col>1</xdr:col>
      <xdr:colOff>1485900</xdr:colOff>
      <xdr:row>21</xdr:row>
      <xdr:rowOff>150495</xdr:rowOff>
    </xdr:to>
    <mc:AlternateContent xmlns:mc="http://schemas.openxmlformats.org/markup-compatibility/2006">
      <mc:Choice xmlns:a14="http://schemas.microsoft.com/office/drawing/2010/main" Requires="a14">
        <xdr:graphicFrame macro="">
          <xdr:nvGraphicFramePr>
            <xdr:cNvPr id="3" name="in_spotify_playlists">
              <a:extLst>
                <a:ext uri="{FF2B5EF4-FFF2-40B4-BE49-F238E27FC236}">
                  <a16:creationId xmlns:a16="http://schemas.microsoft.com/office/drawing/2014/main" id="{BC93ACAD-90C1-E62B-1988-FF65F1644E40}"/>
                </a:ext>
              </a:extLst>
            </xdr:cNvPr>
            <xdr:cNvGraphicFramePr/>
          </xdr:nvGraphicFramePr>
          <xdr:xfrm>
            <a:off x="0" y="0"/>
            <a:ext cx="0" cy="0"/>
          </xdr:xfrm>
          <a:graphic>
            <a:graphicData uri="http://schemas.microsoft.com/office/drawing/2010/slicer">
              <sle:slicer xmlns:sle="http://schemas.microsoft.com/office/drawing/2010/slicer" name="in_spotify_playlists"/>
            </a:graphicData>
          </a:graphic>
        </xdr:graphicFrame>
      </mc:Choice>
      <mc:Fallback>
        <xdr:sp macro="" textlink="">
          <xdr:nvSpPr>
            <xdr:cNvPr id="0" name=""/>
            <xdr:cNvSpPr>
              <a:spLocks noTextEdit="1"/>
            </xdr:cNvSpPr>
          </xdr:nvSpPr>
          <xdr:spPr>
            <a:xfrm>
              <a:off x="12877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541020</xdr:colOff>
      <xdr:row>9</xdr:row>
      <xdr:rowOff>87630</xdr:rowOff>
    </xdr:from>
    <xdr:to>
      <xdr:col>3</xdr:col>
      <xdr:colOff>1127760</xdr:colOff>
      <xdr:row>24</xdr:row>
      <xdr:rowOff>87630</xdr:rowOff>
    </xdr:to>
    <xdr:graphicFrame macro="">
      <xdr:nvGraphicFramePr>
        <xdr:cNvPr id="2" name="Chart 1">
          <a:extLst>
            <a:ext uri="{FF2B5EF4-FFF2-40B4-BE49-F238E27FC236}">
              <a16:creationId xmlns:a16="http://schemas.microsoft.com/office/drawing/2014/main" id="{1F3CB8E8-FF3B-CE6C-1A1F-033A00D1C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563880</xdr:colOff>
      <xdr:row>0</xdr:row>
      <xdr:rowOff>160020</xdr:rowOff>
    </xdr:from>
    <xdr:to>
      <xdr:col>8</xdr:col>
      <xdr:colOff>563880</xdr:colOff>
      <xdr:row>14</xdr:row>
      <xdr:rowOff>66675</xdr:rowOff>
    </xdr:to>
    <mc:AlternateContent xmlns:mc="http://schemas.openxmlformats.org/markup-compatibility/2006">
      <mc:Choice xmlns:a14="http://schemas.microsoft.com/office/drawing/2010/main" Requires="a14">
        <xdr:graphicFrame macro="">
          <xdr:nvGraphicFramePr>
            <xdr:cNvPr id="3" name="in_apple_charts">
              <a:extLst>
                <a:ext uri="{FF2B5EF4-FFF2-40B4-BE49-F238E27FC236}">
                  <a16:creationId xmlns:a16="http://schemas.microsoft.com/office/drawing/2014/main" id="{6A7CFA10-766A-D429-B007-A919661E22F1}"/>
                </a:ext>
              </a:extLst>
            </xdr:cNvPr>
            <xdr:cNvGraphicFramePr/>
          </xdr:nvGraphicFramePr>
          <xdr:xfrm>
            <a:off x="0" y="0"/>
            <a:ext cx="0" cy="0"/>
          </xdr:xfrm>
          <a:graphic>
            <a:graphicData uri="http://schemas.microsoft.com/office/drawing/2010/slicer">
              <sle:slicer xmlns:sle="http://schemas.microsoft.com/office/drawing/2010/slicer" name="in_apple_charts"/>
            </a:graphicData>
          </a:graphic>
        </xdr:graphicFrame>
      </mc:Choice>
      <mc:Fallback>
        <xdr:sp macro="" textlink="">
          <xdr:nvSpPr>
            <xdr:cNvPr id="0" name=""/>
            <xdr:cNvSpPr>
              <a:spLocks noTextEdit="1"/>
            </xdr:cNvSpPr>
          </xdr:nvSpPr>
          <xdr:spPr>
            <a:xfrm>
              <a:off x="6727314" y="160020"/>
              <a:ext cx="1820708" cy="2455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137160</xdr:colOff>
      <xdr:row>2</xdr:row>
      <xdr:rowOff>144780</xdr:rowOff>
    </xdr:from>
    <xdr:to>
      <xdr:col>5</xdr:col>
      <xdr:colOff>137160</xdr:colOff>
      <xdr:row>16</xdr:row>
      <xdr:rowOff>51435</xdr:rowOff>
    </xdr:to>
    <mc:AlternateContent xmlns:mc="http://schemas.openxmlformats.org/markup-compatibility/2006">
      <mc:Choice xmlns:a14="http://schemas.microsoft.com/office/drawing/2010/main" Requires="a14">
        <xdr:graphicFrame macro="">
          <xdr:nvGraphicFramePr>
            <xdr:cNvPr id="2" name="released_year">
              <a:extLst>
                <a:ext uri="{FF2B5EF4-FFF2-40B4-BE49-F238E27FC236}">
                  <a16:creationId xmlns:a16="http://schemas.microsoft.com/office/drawing/2014/main" id="{18A23D08-219B-4449-BA7C-65991A5D8650}"/>
                </a:ext>
              </a:extLst>
            </xdr:cNvPr>
            <xdr:cNvGraphicFramePr/>
          </xdr:nvGraphicFramePr>
          <xdr:xfrm>
            <a:off x="0" y="0"/>
            <a:ext cx="0" cy="0"/>
          </xdr:xfrm>
          <a:graphic>
            <a:graphicData uri="http://schemas.microsoft.com/office/drawing/2010/slicer">
              <sle:slicer xmlns:sle="http://schemas.microsoft.com/office/drawing/2010/slicer" name="released_year"/>
            </a:graphicData>
          </a:graphic>
        </xdr:graphicFrame>
      </mc:Choice>
      <mc:Fallback>
        <xdr:sp macro="" textlink="">
          <xdr:nvSpPr>
            <xdr:cNvPr id="0" name=""/>
            <xdr:cNvSpPr>
              <a:spLocks noTextEdit="1"/>
            </xdr:cNvSpPr>
          </xdr:nvSpPr>
          <xdr:spPr>
            <a:xfrm>
              <a:off x="4137660" y="51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480060</xdr:colOff>
      <xdr:row>5</xdr:row>
      <xdr:rowOff>41910</xdr:rowOff>
    </xdr:from>
    <xdr:to>
      <xdr:col>13</xdr:col>
      <xdr:colOff>175260</xdr:colOff>
      <xdr:row>20</xdr:row>
      <xdr:rowOff>41910</xdr:rowOff>
    </xdr:to>
    <xdr:graphicFrame macro="">
      <xdr:nvGraphicFramePr>
        <xdr:cNvPr id="4" name="Chart 3">
          <a:extLst>
            <a:ext uri="{FF2B5EF4-FFF2-40B4-BE49-F238E27FC236}">
              <a16:creationId xmlns:a16="http://schemas.microsoft.com/office/drawing/2014/main" id="{BCDDC7A6-8D17-A1E2-1171-418619817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439736</xdr:colOff>
      <xdr:row>0</xdr:row>
      <xdr:rowOff>80432</xdr:rowOff>
    </xdr:from>
    <xdr:to>
      <xdr:col>2</xdr:col>
      <xdr:colOff>1288520</xdr:colOff>
      <xdr:row>1</xdr:row>
      <xdr:rowOff>156633</xdr:rowOff>
    </xdr:to>
    <xdr:sp macro="" textlink="">
      <xdr:nvSpPr>
        <xdr:cNvPr id="2" name="TextBox 1">
          <a:extLst>
            <a:ext uri="{FF2B5EF4-FFF2-40B4-BE49-F238E27FC236}">
              <a16:creationId xmlns:a16="http://schemas.microsoft.com/office/drawing/2014/main" id="{26134A1B-6660-A944-74BD-C90BE0524B15}"/>
            </a:ext>
          </a:extLst>
        </xdr:cNvPr>
        <xdr:cNvSpPr txBox="1"/>
      </xdr:nvSpPr>
      <xdr:spPr>
        <a:xfrm>
          <a:off x="3352269" y="80432"/>
          <a:ext cx="848784" cy="512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Arial Rounded MT Bold" panose="020F0704030504030204" pitchFamily="34" charset="0"/>
            </a:rPr>
            <a:t>KPI</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0</xdr:col>
      <xdr:colOff>533400</xdr:colOff>
      <xdr:row>0</xdr:row>
      <xdr:rowOff>7620</xdr:rowOff>
    </xdr:from>
    <xdr:ext cx="2264979" cy="359457"/>
    <xdr:sp macro="" textlink="">
      <xdr:nvSpPr>
        <xdr:cNvPr id="2" name="TextBox 1">
          <a:extLst>
            <a:ext uri="{FF2B5EF4-FFF2-40B4-BE49-F238E27FC236}">
              <a16:creationId xmlns:a16="http://schemas.microsoft.com/office/drawing/2014/main" id="{EE272B84-351B-9389-C9C8-46C4665BB84C}"/>
            </a:ext>
          </a:extLst>
        </xdr:cNvPr>
        <xdr:cNvSpPr txBox="1"/>
      </xdr:nvSpPr>
      <xdr:spPr>
        <a:xfrm>
          <a:off x="533400" y="7620"/>
          <a:ext cx="2264979" cy="359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a:solidFill>
                <a:schemeClr val="bg1"/>
              </a:solidFill>
              <a:latin typeface="Arial Rounded MT Bold" panose="020F0704030504030204" pitchFamily="34" charset="0"/>
            </a:rPr>
            <a:t>Spotify</a:t>
          </a:r>
          <a:r>
            <a:rPr lang="en-IN" sz="1800" baseline="0">
              <a:solidFill>
                <a:schemeClr val="bg1"/>
              </a:solidFill>
              <a:latin typeface="Arial Rounded MT Bold" panose="020F0704030504030204" pitchFamily="34" charset="0"/>
            </a:rPr>
            <a:t> Dashboard</a:t>
          </a:r>
          <a:endParaRPr lang="en-IN" sz="1800">
            <a:solidFill>
              <a:schemeClr val="bg1"/>
            </a:solidFill>
            <a:latin typeface="Arial Rounded MT Bold" panose="020F0704030504030204" pitchFamily="34" charset="0"/>
          </a:endParaRPr>
        </a:p>
      </xdr:txBody>
    </xdr:sp>
    <xdr:clientData/>
  </xdr:oneCellAnchor>
  <xdr:twoCellAnchor>
    <xdr:from>
      <xdr:col>0</xdr:col>
      <xdr:colOff>114300</xdr:colOff>
      <xdr:row>1</xdr:row>
      <xdr:rowOff>129540</xdr:rowOff>
    </xdr:from>
    <xdr:to>
      <xdr:col>3</xdr:col>
      <xdr:colOff>472440</xdr:colOff>
      <xdr:row>5</xdr:row>
      <xdr:rowOff>114300</xdr:rowOff>
    </xdr:to>
    <xdr:sp macro="" textlink="">
      <xdr:nvSpPr>
        <xdr:cNvPr id="3" name="Rectangle: Rounded Corners 2">
          <a:extLst>
            <a:ext uri="{FF2B5EF4-FFF2-40B4-BE49-F238E27FC236}">
              <a16:creationId xmlns:a16="http://schemas.microsoft.com/office/drawing/2014/main" id="{EDA4A406-62B2-900B-5C7D-CCCB7CCD06B5}"/>
            </a:ext>
          </a:extLst>
        </xdr:cNvPr>
        <xdr:cNvSpPr/>
      </xdr:nvSpPr>
      <xdr:spPr>
        <a:xfrm>
          <a:off x="114300" y="510540"/>
          <a:ext cx="2186940" cy="716280"/>
        </a:xfrm>
        <a:prstGeom prst="roundRect">
          <a:avLst/>
        </a:prstGeom>
        <a:solidFill>
          <a:srgbClr val="00B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472440</xdr:colOff>
      <xdr:row>1</xdr:row>
      <xdr:rowOff>160020</xdr:rowOff>
    </xdr:from>
    <xdr:to>
      <xdr:col>3</xdr:col>
      <xdr:colOff>312420</xdr:colOff>
      <xdr:row>3</xdr:row>
      <xdr:rowOff>68580</xdr:rowOff>
    </xdr:to>
    <xdr:sp macro="" textlink="">
      <xdr:nvSpPr>
        <xdr:cNvPr id="4" name="TextBox 3">
          <a:extLst>
            <a:ext uri="{FF2B5EF4-FFF2-40B4-BE49-F238E27FC236}">
              <a16:creationId xmlns:a16="http://schemas.microsoft.com/office/drawing/2014/main" id="{4B34C9C6-53CE-F2D9-9D43-A28C683F0FC2}"/>
            </a:ext>
          </a:extLst>
        </xdr:cNvPr>
        <xdr:cNvSpPr txBox="1"/>
      </xdr:nvSpPr>
      <xdr:spPr>
        <a:xfrm>
          <a:off x="472440" y="541020"/>
          <a:ext cx="16687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bg1"/>
              </a:solidFill>
              <a:effectLst/>
              <a:latin typeface="Arial Rounded MT Bold" panose="020F0704030504030204" pitchFamily="34" charset="0"/>
              <a:ea typeface="+mn-ea"/>
              <a:cs typeface="+mn-cs"/>
            </a:rPr>
            <a:t>Sum of Streams</a:t>
          </a:r>
          <a:r>
            <a:rPr lang="en-IN" sz="1400" b="1">
              <a:solidFill>
                <a:schemeClr val="bg1"/>
              </a:solidFill>
              <a:effectLst/>
              <a:latin typeface="Arial Rounded MT Bold" panose="020F0704030504030204" pitchFamily="34" charset="0"/>
            </a:rPr>
            <a:t> </a:t>
          </a:r>
          <a:endParaRPr lang="en-IN" sz="1400" b="1">
            <a:solidFill>
              <a:schemeClr val="bg1"/>
            </a:solidFill>
            <a:latin typeface="Arial Rounded MT Bold" panose="020F0704030504030204" pitchFamily="34" charset="0"/>
          </a:endParaRPr>
        </a:p>
      </xdr:txBody>
    </xdr:sp>
    <xdr:clientData/>
  </xdr:twoCellAnchor>
  <xdr:twoCellAnchor>
    <xdr:from>
      <xdr:col>3</xdr:col>
      <xdr:colOff>571500</xdr:colOff>
      <xdr:row>1</xdr:row>
      <xdr:rowOff>137160</xdr:rowOff>
    </xdr:from>
    <xdr:to>
      <xdr:col>7</xdr:col>
      <xdr:colOff>320040</xdr:colOff>
      <xdr:row>5</xdr:row>
      <xdr:rowOff>121920</xdr:rowOff>
    </xdr:to>
    <xdr:sp macro="" textlink="">
      <xdr:nvSpPr>
        <xdr:cNvPr id="5" name="Rectangle: Rounded Corners 4">
          <a:extLst>
            <a:ext uri="{FF2B5EF4-FFF2-40B4-BE49-F238E27FC236}">
              <a16:creationId xmlns:a16="http://schemas.microsoft.com/office/drawing/2014/main" id="{C31580E2-401E-4948-AF3B-0834B225D858}"/>
            </a:ext>
          </a:extLst>
        </xdr:cNvPr>
        <xdr:cNvSpPr/>
      </xdr:nvSpPr>
      <xdr:spPr>
        <a:xfrm>
          <a:off x="2400300" y="518160"/>
          <a:ext cx="2186940" cy="716280"/>
        </a:xfrm>
        <a:prstGeom prst="roundRect">
          <a:avLst/>
        </a:prstGeom>
        <a:solidFill>
          <a:srgbClr val="00B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426720</xdr:colOff>
      <xdr:row>1</xdr:row>
      <xdr:rowOff>137160</xdr:rowOff>
    </xdr:from>
    <xdr:to>
      <xdr:col>11</xdr:col>
      <xdr:colOff>175260</xdr:colOff>
      <xdr:row>5</xdr:row>
      <xdr:rowOff>121920</xdr:rowOff>
    </xdr:to>
    <xdr:sp macro="" textlink="">
      <xdr:nvSpPr>
        <xdr:cNvPr id="7" name="Rectangle: Rounded Corners 6">
          <a:extLst>
            <a:ext uri="{FF2B5EF4-FFF2-40B4-BE49-F238E27FC236}">
              <a16:creationId xmlns:a16="http://schemas.microsoft.com/office/drawing/2014/main" id="{A1BA6FF8-9323-46FF-A81F-FB46EEF35C6D}"/>
            </a:ext>
          </a:extLst>
        </xdr:cNvPr>
        <xdr:cNvSpPr/>
      </xdr:nvSpPr>
      <xdr:spPr>
        <a:xfrm>
          <a:off x="4693920" y="518160"/>
          <a:ext cx="2186940" cy="716280"/>
        </a:xfrm>
        <a:prstGeom prst="roundRect">
          <a:avLst/>
        </a:prstGeom>
        <a:solidFill>
          <a:srgbClr val="00B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289560</xdr:colOff>
      <xdr:row>1</xdr:row>
      <xdr:rowOff>137160</xdr:rowOff>
    </xdr:from>
    <xdr:to>
      <xdr:col>15</xdr:col>
      <xdr:colOff>38100</xdr:colOff>
      <xdr:row>5</xdr:row>
      <xdr:rowOff>121920</xdr:rowOff>
    </xdr:to>
    <xdr:sp macro="" textlink="">
      <xdr:nvSpPr>
        <xdr:cNvPr id="9" name="Rectangle: Rounded Corners 8">
          <a:extLst>
            <a:ext uri="{FF2B5EF4-FFF2-40B4-BE49-F238E27FC236}">
              <a16:creationId xmlns:a16="http://schemas.microsoft.com/office/drawing/2014/main" id="{99571E0C-1482-4C6D-82EB-75585FFBE33F}"/>
            </a:ext>
          </a:extLst>
        </xdr:cNvPr>
        <xdr:cNvSpPr/>
      </xdr:nvSpPr>
      <xdr:spPr>
        <a:xfrm>
          <a:off x="6995160" y="518160"/>
          <a:ext cx="2186940" cy="716280"/>
        </a:xfrm>
        <a:prstGeom prst="roundRect">
          <a:avLst/>
        </a:prstGeom>
        <a:solidFill>
          <a:srgbClr val="00B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38100</xdr:colOff>
      <xdr:row>3</xdr:row>
      <xdr:rowOff>87630</xdr:rowOff>
    </xdr:from>
    <xdr:to>
      <xdr:col>3</xdr:col>
      <xdr:colOff>45720</xdr:colOff>
      <xdr:row>5</xdr:row>
      <xdr:rowOff>15240</xdr:rowOff>
    </xdr:to>
    <xdr:sp macro="" textlink="KPI!A4:B4">
      <xdr:nvSpPr>
        <xdr:cNvPr id="12" name="TextBox 11">
          <a:extLst>
            <a:ext uri="{FF2B5EF4-FFF2-40B4-BE49-F238E27FC236}">
              <a16:creationId xmlns:a16="http://schemas.microsoft.com/office/drawing/2014/main" id="{A0220A49-000A-900A-02C2-C41FC50858BC}"/>
            </a:ext>
          </a:extLst>
        </xdr:cNvPr>
        <xdr:cNvSpPr txBox="1"/>
      </xdr:nvSpPr>
      <xdr:spPr>
        <a:xfrm>
          <a:off x="647700" y="834390"/>
          <a:ext cx="122682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2067BD-6846-454B-B39F-939C12BFA065}" type="TxLink">
            <a:rPr lang="en-US" sz="1200" b="0" i="0" u="none" strike="noStrike">
              <a:solidFill>
                <a:schemeClr val="bg1"/>
              </a:solidFill>
              <a:latin typeface="Arial Rounded MT Bold" panose="020F0704030504030204" pitchFamily="34" charset="0"/>
              <a:ea typeface="Calibri"/>
              <a:cs typeface="Calibri"/>
            </a:rPr>
            <a:pPr/>
            <a:t>29688807227</a:t>
          </a:fld>
          <a:endParaRPr lang="en-IN" sz="1200">
            <a:solidFill>
              <a:schemeClr val="bg1"/>
            </a:solidFill>
            <a:latin typeface="Arial Rounded MT Bold" panose="020F0704030504030204" pitchFamily="34" charset="0"/>
          </a:endParaRPr>
        </a:p>
      </xdr:txBody>
    </xdr:sp>
    <xdr:clientData/>
  </xdr:twoCellAnchor>
  <xdr:twoCellAnchor>
    <xdr:from>
      <xdr:col>5</xdr:col>
      <xdr:colOff>160020</xdr:colOff>
      <xdr:row>3</xdr:row>
      <xdr:rowOff>68580</xdr:rowOff>
    </xdr:from>
    <xdr:to>
      <xdr:col>7</xdr:col>
      <xdr:colOff>167640</xdr:colOff>
      <xdr:row>4</xdr:row>
      <xdr:rowOff>179070</xdr:rowOff>
    </xdr:to>
    <xdr:sp macro="" textlink="KPI!B4:C4">
      <xdr:nvSpPr>
        <xdr:cNvPr id="13" name="TextBox 12">
          <a:extLst>
            <a:ext uri="{FF2B5EF4-FFF2-40B4-BE49-F238E27FC236}">
              <a16:creationId xmlns:a16="http://schemas.microsoft.com/office/drawing/2014/main" id="{95BE73BB-F5A1-40C1-8B29-4B27F181E402}"/>
            </a:ext>
          </a:extLst>
        </xdr:cNvPr>
        <xdr:cNvSpPr txBox="1"/>
      </xdr:nvSpPr>
      <xdr:spPr>
        <a:xfrm>
          <a:off x="3208020" y="815340"/>
          <a:ext cx="122682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AD6852-80D3-43DD-BAE3-A33637712F72}" type="TxLink">
            <a:rPr lang="en-US" sz="1200" b="0" i="0" u="none" strike="noStrike">
              <a:solidFill>
                <a:schemeClr val="bg1"/>
              </a:solidFill>
              <a:latin typeface="Arial Rounded MT Bold" panose="020F0704030504030204" pitchFamily="34" charset="0"/>
              <a:ea typeface="Calibri"/>
              <a:cs typeface="Calibri"/>
            </a:rPr>
            <a:pPr/>
            <a:t>82</a:t>
          </a:fld>
          <a:endParaRPr lang="en-IN" sz="1200">
            <a:solidFill>
              <a:schemeClr val="bg1"/>
            </a:solidFill>
            <a:latin typeface="Arial Rounded MT Bold" panose="020F0704030504030204" pitchFamily="34" charset="0"/>
          </a:endParaRPr>
        </a:p>
      </xdr:txBody>
    </xdr:sp>
    <xdr:clientData/>
  </xdr:twoCellAnchor>
  <xdr:twoCellAnchor>
    <xdr:from>
      <xdr:col>8</xdr:col>
      <xdr:colOff>518160</xdr:colOff>
      <xdr:row>3</xdr:row>
      <xdr:rowOff>82973</xdr:rowOff>
    </xdr:from>
    <xdr:to>
      <xdr:col>10</xdr:col>
      <xdr:colOff>525780</xdr:colOff>
      <xdr:row>5</xdr:row>
      <xdr:rowOff>10583</xdr:rowOff>
    </xdr:to>
    <xdr:sp macro="" textlink="KPI!C4:D4">
      <xdr:nvSpPr>
        <xdr:cNvPr id="14" name="TextBox 13">
          <a:extLst>
            <a:ext uri="{FF2B5EF4-FFF2-40B4-BE49-F238E27FC236}">
              <a16:creationId xmlns:a16="http://schemas.microsoft.com/office/drawing/2014/main" id="{C4CB7FF0-D5F5-4B4C-94FB-06249E01A6FC}"/>
            </a:ext>
          </a:extLst>
        </xdr:cNvPr>
        <xdr:cNvSpPr txBox="1"/>
      </xdr:nvSpPr>
      <xdr:spPr>
        <a:xfrm>
          <a:off x="5394960" y="836506"/>
          <a:ext cx="1226820" cy="300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E75E77-0803-4791-A0BC-1CB32F36E890}" type="TxLink">
            <a:rPr lang="en-US" sz="1200" b="0" i="0" u="none" strike="noStrike">
              <a:solidFill>
                <a:schemeClr val="bg1"/>
              </a:solidFill>
              <a:latin typeface="Arial Rounded MT Bold" panose="020F0704030504030204" pitchFamily="34" charset="0"/>
              <a:ea typeface="Calibri"/>
              <a:cs typeface="Calibri"/>
            </a:rPr>
            <a:pPr/>
            <a:t>250586</a:t>
          </a:fld>
          <a:endParaRPr lang="en-IN" sz="1200">
            <a:solidFill>
              <a:schemeClr val="bg1"/>
            </a:solidFill>
            <a:latin typeface="Arial Rounded MT Bold" panose="020F0704030504030204" pitchFamily="34" charset="0"/>
          </a:endParaRPr>
        </a:p>
      </xdr:txBody>
    </xdr:sp>
    <xdr:clientData/>
  </xdr:twoCellAnchor>
  <xdr:twoCellAnchor>
    <xdr:from>
      <xdr:col>12</xdr:col>
      <xdr:colOff>365760</xdr:colOff>
      <xdr:row>3</xdr:row>
      <xdr:rowOff>77047</xdr:rowOff>
    </xdr:from>
    <xdr:to>
      <xdr:col>14</xdr:col>
      <xdr:colOff>373380</xdr:colOff>
      <xdr:row>5</xdr:row>
      <xdr:rowOff>1270</xdr:rowOff>
    </xdr:to>
    <xdr:sp macro="" textlink="KPI!D4:E4">
      <xdr:nvSpPr>
        <xdr:cNvPr id="15" name="TextBox 14">
          <a:extLst>
            <a:ext uri="{FF2B5EF4-FFF2-40B4-BE49-F238E27FC236}">
              <a16:creationId xmlns:a16="http://schemas.microsoft.com/office/drawing/2014/main" id="{F081D08B-E281-4FE5-AC8D-6AB30824A69D}"/>
            </a:ext>
          </a:extLst>
        </xdr:cNvPr>
        <xdr:cNvSpPr txBox="1"/>
      </xdr:nvSpPr>
      <xdr:spPr>
        <a:xfrm>
          <a:off x="7680960" y="830580"/>
          <a:ext cx="1226820" cy="296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B58DB7-C07B-4B9B-A99F-76696F2C2855}" type="TxLink">
            <a:rPr lang="en-US" sz="1200" b="0" i="0" u="none" strike="noStrike">
              <a:solidFill>
                <a:schemeClr val="bg1"/>
              </a:solidFill>
              <a:latin typeface="Arial Rounded MT Bold" panose="020F0704030504030204" pitchFamily="34" charset="0"/>
              <a:ea typeface="Calibri"/>
              <a:cs typeface="Calibri"/>
            </a:rPr>
            <a:pPr/>
            <a:t>4743</a:t>
          </a:fld>
          <a:endParaRPr lang="en-IN" sz="1200">
            <a:solidFill>
              <a:schemeClr val="bg1"/>
            </a:solidFill>
            <a:latin typeface="Arial Rounded MT Bold" panose="020F0704030504030204" pitchFamily="34" charset="0"/>
          </a:endParaRPr>
        </a:p>
      </xdr:txBody>
    </xdr:sp>
    <xdr:clientData/>
  </xdr:twoCellAnchor>
  <xdr:twoCellAnchor>
    <xdr:from>
      <xdr:col>15</xdr:col>
      <xdr:colOff>137160</xdr:colOff>
      <xdr:row>1</xdr:row>
      <xdr:rowOff>129540</xdr:rowOff>
    </xdr:from>
    <xdr:to>
      <xdr:col>18</xdr:col>
      <xdr:colOff>495300</xdr:colOff>
      <xdr:row>5</xdr:row>
      <xdr:rowOff>114300</xdr:rowOff>
    </xdr:to>
    <xdr:sp macro="" textlink="">
      <xdr:nvSpPr>
        <xdr:cNvPr id="16" name="Rectangle: Rounded Corners 15">
          <a:extLst>
            <a:ext uri="{FF2B5EF4-FFF2-40B4-BE49-F238E27FC236}">
              <a16:creationId xmlns:a16="http://schemas.microsoft.com/office/drawing/2014/main" id="{8617809F-8112-459B-A3E1-1A3A2238822D}"/>
            </a:ext>
          </a:extLst>
        </xdr:cNvPr>
        <xdr:cNvSpPr/>
      </xdr:nvSpPr>
      <xdr:spPr>
        <a:xfrm>
          <a:off x="9281160" y="510540"/>
          <a:ext cx="2186940" cy="716280"/>
        </a:xfrm>
        <a:prstGeom prst="roundRect">
          <a:avLst/>
        </a:prstGeom>
        <a:solidFill>
          <a:srgbClr val="00B050"/>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266700</xdr:colOff>
      <xdr:row>3</xdr:row>
      <xdr:rowOff>55034</xdr:rowOff>
    </xdr:from>
    <xdr:to>
      <xdr:col>18</xdr:col>
      <xdr:colOff>274320</xdr:colOff>
      <xdr:row>4</xdr:row>
      <xdr:rowOff>165524</xdr:rowOff>
    </xdr:to>
    <xdr:sp macro="" textlink="KPI!E4:F4">
      <xdr:nvSpPr>
        <xdr:cNvPr id="18" name="TextBox 17">
          <a:extLst>
            <a:ext uri="{FF2B5EF4-FFF2-40B4-BE49-F238E27FC236}">
              <a16:creationId xmlns:a16="http://schemas.microsoft.com/office/drawing/2014/main" id="{9067F475-6E4C-4B50-AE08-832EA2213A69}"/>
            </a:ext>
          </a:extLst>
        </xdr:cNvPr>
        <xdr:cNvSpPr txBox="1"/>
      </xdr:nvSpPr>
      <xdr:spPr>
        <a:xfrm>
          <a:off x="10020300" y="808567"/>
          <a:ext cx="1226820" cy="296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972BDA-4D47-4B92-AE22-3946065F4A76}" type="TxLink">
            <a:rPr lang="en-US" sz="1200" b="0" i="0" u="none" strike="noStrike">
              <a:solidFill>
                <a:schemeClr val="bg1"/>
              </a:solidFill>
              <a:latin typeface="Arial Rounded MT Bold" panose="020F0704030504030204" pitchFamily="34" charset="0"/>
              <a:ea typeface="Calibri"/>
              <a:cs typeface="Calibri"/>
            </a:rPr>
            <a:pPr/>
            <a:t>10291</a:t>
          </a:fld>
          <a:endParaRPr lang="en-IN" sz="1200">
            <a:solidFill>
              <a:schemeClr val="bg1"/>
            </a:solidFill>
            <a:latin typeface="Arial Rounded MT Bold" panose="020F0704030504030204" pitchFamily="34" charset="0"/>
          </a:endParaRPr>
        </a:p>
      </xdr:txBody>
    </xdr:sp>
    <xdr:clientData/>
  </xdr:twoCellAnchor>
  <xdr:twoCellAnchor>
    <xdr:from>
      <xdr:col>0</xdr:col>
      <xdr:colOff>129540</xdr:colOff>
      <xdr:row>6</xdr:row>
      <xdr:rowOff>91440</xdr:rowOff>
    </xdr:from>
    <xdr:to>
      <xdr:col>6</xdr:col>
      <xdr:colOff>251460</xdr:colOff>
      <xdr:row>17</xdr:row>
      <xdr:rowOff>30480</xdr:rowOff>
    </xdr:to>
    <xdr:graphicFrame macro="">
      <xdr:nvGraphicFramePr>
        <xdr:cNvPr id="11" name="Chart 10">
          <a:extLst>
            <a:ext uri="{FF2B5EF4-FFF2-40B4-BE49-F238E27FC236}">
              <a16:creationId xmlns:a16="http://schemas.microsoft.com/office/drawing/2014/main" id="{E01EBF2B-CA04-453F-8838-6D19BFFEC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300567</xdr:colOff>
      <xdr:row>6</xdr:row>
      <xdr:rowOff>93134</xdr:rowOff>
    </xdr:from>
    <xdr:to>
      <xdr:col>12</xdr:col>
      <xdr:colOff>429683</xdr:colOff>
      <xdr:row>17</xdr:row>
      <xdr:rowOff>35983</xdr:rowOff>
    </xdr:to>
    <xdr:graphicFrame macro="">
      <xdr:nvGraphicFramePr>
        <xdr:cNvPr id="19" name="Chart 18">
          <a:extLst>
            <a:ext uri="{FF2B5EF4-FFF2-40B4-BE49-F238E27FC236}">
              <a16:creationId xmlns:a16="http://schemas.microsoft.com/office/drawing/2014/main" id="{AE441783-CB95-4260-A6FA-D016F40C7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465667</xdr:colOff>
      <xdr:row>6</xdr:row>
      <xdr:rowOff>101599</xdr:rowOff>
    </xdr:from>
    <xdr:to>
      <xdr:col>19</xdr:col>
      <xdr:colOff>16933</xdr:colOff>
      <xdr:row>17</xdr:row>
      <xdr:rowOff>42333</xdr:rowOff>
    </xdr:to>
    <xdr:graphicFrame macro="">
      <xdr:nvGraphicFramePr>
        <xdr:cNvPr id="20" name="Chart 19">
          <a:extLst>
            <a:ext uri="{FF2B5EF4-FFF2-40B4-BE49-F238E27FC236}">
              <a16:creationId xmlns:a16="http://schemas.microsoft.com/office/drawing/2014/main" id="{9004EA13-EB59-4850-9254-201550B43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118534</xdr:colOff>
      <xdr:row>17</xdr:row>
      <xdr:rowOff>84666</xdr:rowOff>
    </xdr:from>
    <xdr:to>
      <xdr:col>6</xdr:col>
      <xdr:colOff>254000</xdr:colOff>
      <xdr:row>28</xdr:row>
      <xdr:rowOff>76200</xdr:rowOff>
    </xdr:to>
    <xdr:graphicFrame macro="">
      <xdr:nvGraphicFramePr>
        <xdr:cNvPr id="21" name="Chart 20">
          <a:extLst>
            <a:ext uri="{FF2B5EF4-FFF2-40B4-BE49-F238E27FC236}">
              <a16:creationId xmlns:a16="http://schemas.microsoft.com/office/drawing/2014/main" id="{97E451B2-0302-460D-BBF2-06E8B4DDE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304801</xdr:colOff>
      <xdr:row>17</xdr:row>
      <xdr:rowOff>84667</xdr:rowOff>
    </xdr:from>
    <xdr:to>
      <xdr:col>12</xdr:col>
      <xdr:colOff>431800</xdr:colOff>
      <xdr:row>28</xdr:row>
      <xdr:rowOff>67734</xdr:rowOff>
    </xdr:to>
    <xdr:graphicFrame macro="">
      <xdr:nvGraphicFramePr>
        <xdr:cNvPr id="22" name="Chart 21">
          <a:extLst>
            <a:ext uri="{FF2B5EF4-FFF2-40B4-BE49-F238E27FC236}">
              <a16:creationId xmlns:a16="http://schemas.microsoft.com/office/drawing/2014/main" id="{CAB6A957-0B04-4056-9772-6BC203D92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465666</xdr:colOff>
      <xdr:row>17</xdr:row>
      <xdr:rowOff>84666</xdr:rowOff>
    </xdr:from>
    <xdr:to>
      <xdr:col>19</xdr:col>
      <xdr:colOff>33867</xdr:colOff>
      <xdr:row>28</xdr:row>
      <xdr:rowOff>84667</xdr:rowOff>
    </xdr:to>
    <xdr:graphicFrame macro="">
      <xdr:nvGraphicFramePr>
        <xdr:cNvPr id="23" name="Chart 22">
          <a:extLst>
            <a:ext uri="{FF2B5EF4-FFF2-40B4-BE49-F238E27FC236}">
              <a16:creationId xmlns:a16="http://schemas.microsoft.com/office/drawing/2014/main" id="{2B8EFEED-A9FB-4A9B-A0C6-915A7233F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110068</xdr:colOff>
      <xdr:row>9</xdr:row>
      <xdr:rowOff>177800</xdr:rowOff>
    </xdr:from>
    <xdr:to>
      <xdr:col>25</xdr:col>
      <xdr:colOff>406400</xdr:colOff>
      <xdr:row>17</xdr:row>
      <xdr:rowOff>67733</xdr:rowOff>
    </xdr:to>
    <mc:AlternateContent xmlns:mc="http://schemas.openxmlformats.org/markup-compatibility/2006" xmlns:a14="http://schemas.microsoft.com/office/drawing/2010/main">
      <mc:Choice Requires="a14">
        <xdr:graphicFrame macro="">
          <xdr:nvGraphicFramePr>
            <xdr:cNvPr id="28" name="in_spotify_playlists 1">
              <a:extLst>
                <a:ext uri="{FF2B5EF4-FFF2-40B4-BE49-F238E27FC236}">
                  <a16:creationId xmlns:a16="http://schemas.microsoft.com/office/drawing/2014/main" id="{9F78C14F-5CF8-4BD8-9E3B-962E5B4E8CE5}"/>
                </a:ext>
              </a:extLst>
            </xdr:cNvPr>
            <xdr:cNvGraphicFramePr/>
          </xdr:nvGraphicFramePr>
          <xdr:xfrm>
            <a:off x="0" y="0"/>
            <a:ext cx="0" cy="0"/>
          </xdr:xfrm>
          <a:graphic>
            <a:graphicData uri="http://schemas.microsoft.com/office/drawing/2010/slicer">
              <sle:slicer xmlns:sle="http://schemas.microsoft.com/office/drawing/2010/slicer" name="in_spotify_playlists 1"/>
            </a:graphicData>
          </a:graphic>
        </xdr:graphicFrame>
      </mc:Choice>
      <mc:Fallback xmlns="">
        <xdr:sp macro="" textlink="">
          <xdr:nvSpPr>
            <xdr:cNvPr id="0" name=""/>
            <xdr:cNvSpPr>
              <a:spLocks noTextEdit="1"/>
            </xdr:cNvSpPr>
          </xdr:nvSpPr>
          <xdr:spPr>
            <a:xfrm>
              <a:off x="13521268" y="2048933"/>
              <a:ext cx="2125132" cy="1380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67735</xdr:colOff>
      <xdr:row>1</xdr:row>
      <xdr:rowOff>118532</xdr:rowOff>
    </xdr:from>
    <xdr:to>
      <xdr:col>22</xdr:col>
      <xdr:colOff>67735</xdr:colOff>
      <xdr:row>17</xdr:row>
      <xdr:rowOff>59266</xdr:rowOff>
    </xdr:to>
    <mc:AlternateContent xmlns:mc="http://schemas.openxmlformats.org/markup-compatibility/2006" xmlns:a14="http://schemas.microsoft.com/office/drawing/2010/main">
      <mc:Choice Requires="a14">
        <xdr:graphicFrame macro="">
          <xdr:nvGraphicFramePr>
            <xdr:cNvPr id="29" name="artist(s)_name 1">
              <a:extLst>
                <a:ext uri="{FF2B5EF4-FFF2-40B4-BE49-F238E27FC236}">
                  <a16:creationId xmlns:a16="http://schemas.microsoft.com/office/drawing/2014/main" id="{1025334D-5B16-47A9-905A-53C887100A59}"/>
                </a:ext>
              </a:extLst>
            </xdr:cNvPr>
            <xdr:cNvGraphicFramePr/>
          </xdr:nvGraphicFramePr>
          <xdr:xfrm>
            <a:off x="0" y="0"/>
            <a:ext cx="0" cy="0"/>
          </xdr:xfrm>
          <a:graphic>
            <a:graphicData uri="http://schemas.microsoft.com/office/drawing/2010/slicer">
              <sle:slicer xmlns:sle="http://schemas.microsoft.com/office/drawing/2010/slicer" name="artist(s)_name 1"/>
            </a:graphicData>
          </a:graphic>
        </xdr:graphicFrame>
      </mc:Choice>
      <mc:Fallback xmlns="">
        <xdr:sp macro="" textlink="">
          <xdr:nvSpPr>
            <xdr:cNvPr id="0" name=""/>
            <xdr:cNvSpPr>
              <a:spLocks noTextEdit="1"/>
            </xdr:cNvSpPr>
          </xdr:nvSpPr>
          <xdr:spPr>
            <a:xfrm>
              <a:off x="11650135" y="499532"/>
              <a:ext cx="1828800" cy="292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110067</xdr:colOff>
      <xdr:row>1</xdr:row>
      <xdr:rowOff>101602</xdr:rowOff>
    </xdr:from>
    <xdr:to>
      <xdr:col>25</xdr:col>
      <xdr:colOff>381001</xdr:colOff>
      <xdr:row>9</xdr:row>
      <xdr:rowOff>127002</xdr:rowOff>
    </xdr:to>
    <mc:AlternateContent xmlns:mc="http://schemas.openxmlformats.org/markup-compatibility/2006">
      <mc:Choice xmlns:a14="http://schemas.microsoft.com/office/drawing/2010/main" Requires="a14">
        <xdr:graphicFrame macro="">
          <xdr:nvGraphicFramePr>
            <xdr:cNvPr id="30" name="in_shazam_charts 1">
              <a:extLst>
                <a:ext uri="{FF2B5EF4-FFF2-40B4-BE49-F238E27FC236}">
                  <a16:creationId xmlns:a16="http://schemas.microsoft.com/office/drawing/2014/main" id="{46500ECA-CC59-4A3A-A100-67050A7C1251}"/>
                </a:ext>
              </a:extLst>
            </xdr:cNvPr>
            <xdr:cNvGraphicFramePr/>
          </xdr:nvGraphicFramePr>
          <xdr:xfrm>
            <a:off x="0" y="0"/>
            <a:ext cx="0" cy="0"/>
          </xdr:xfrm>
          <a:graphic>
            <a:graphicData uri="http://schemas.microsoft.com/office/drawing/2010/slicer">
              <sle:slicer xmlns:sle="http://schemas.microsoft.com/office/drawing/2010/slicer" name="in_shazam_charts 1"/>
            </a:graphicData>
          </a:graphic>
        </xdr:graphicFrame>
      </mc:Choice>
      <mc:Fallback>
        <xdr:sp macro="" textlink="">
          <xdr:nvSpPr>
            <xdr:cNvPr id="0" name=""/>
            <xdr:cNvSpPr>
              <a:spLocks noTextEdit="1"/>
            </xdr:cNvSpPr>
          </xdr:nvSpPr>
          <xdr:spPr>
            <a:xfrm>
              <a:off x="13521267" y="482602"/>
              <a:ext cx="2099734" cy="1515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101601</xdr:colOff>
      <xdr:row>17</xdr:row>
      <xdr:rowOff>101599</xdr:rowOff>
    </xdr:from>
    <xdr:to>
      <xdr:col>25</xdr:col>
      <xdr:colOff>389467</xdr:colOff>
      <xdr:row>28</xdr:row>
      <xdr:rowOff>76200</xdr:rowOff>
    </xdr:to>
    <xdr:graphicFrame macro="">
      <xdr:nvGraphicFramePr>
        <xdr:cNvPr id="32" name="Chart 31">
          <a:extLst>
            <a:ext uri="{FF2B5EF4-FFF2-40B4-BE49-F238E27FC236}">
              <a16:creationId xmlns:a16="http://schemas.microsoft.com/office/drawing/2014/main" id="{350BF5FE-55EA-4069-A0FE-1556F621C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135463</xdr:colOff>
      <xdr:row>2</xdr:row>
      <xdr:rowOff>33866</xdr:rowOff>
    </xdr:from>
    <xdr:ext cx="1896532" cy="347133"/>
    <xdr:sp macro="" textlink="">
      <xdr:nvSpPr>
        <xdr:cNvPr id="33" name="TextBox 32">
          <a:extLst>
            <a:ext uri="{FF2B5EF4-FFF2-40B4-BE49-F238E27FC236}">
              <a16:creationId xmlns:a16="http://schemas.microsoft.com/office/drawing/2014/main" id="{2639E9BB-0DE9-031F-3C34-8BA374D3D298}"/>
            </a:ext>
          </a:extLst>
        </xdr:cNvPr>
        <xdr:cNvSpPr txBox="1"/>
      </xdr:nvSpPr>
      <xdr:spPr>
        <a:xfrm>
          <a:off x="2573863" y="601133"/>
          <a:ext cx="1896532" cy="3471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bg1"/>
              </a:solidFill>
              <a:latin typeface="Arial Rounded MT Bold" panose="020F0704030504030204" pitchFamily="34" charset="0"/>
            </a:rPr>
            <a:t>Sum of Artist</a:t>
          </a:r>
          <a:r>
            <a:rPr lang="en-IN" sz="1400" baseline="0">
              <a:solidFill>
                <a:schemeClr val="bg1"/>
              </a:solidFill>
              <a:latin typeface="Arial Rounded MT Bold" panose="020F0704030504030204" pitchFamily="34" charset="0"/>
            </a:rPr>
            <a:t> </a:t>
          </a:r>
          <a:r>
            <a:rPr lang="en-IN" sz="1400">
              <a:solidFill>
                <a:schemeClr val="bg1"/>
              </a:solidFill>
              <a:latin typeface="Arial Rounded MT Bold" panose="020F0704030504030204" pitchFamily="34" charset="0"/>
            </a:rPr>
            <a:t>Count</a:t>
          </a:r>
        </a:p>
      </xdr:txBody>
    </xdr:sp>
    <xdr:clientData/>
  </xdr:oneCellAnchor>
  <xdr:twoCellAnchor>
    <xdr:from>
      <xdr:col>20</xdr:col>
      <xdr:colOff>160867</xdr:colOff>
      <xdr:row>0</xdr:row>
      <xdr:rowOff>160867</xdr:rowOff>
    </xdr:from>
    <xdr:to>
      <xdr:col>23</xdr:col>
      <xdr:colOff>118533</xdr:colOff>
      <xdr:row>1</xdr:row>
      <xdr:rowOff>42333</xdr:rowOff>
    </xdr:to>
    <xdr:sp macro="" textlink="">
      <xdr:nvSpPr>
        <xdr:cNvPr id="34" name="TextBox 33">
          <a:extLst>
            <a:ext uri="{FF2B5EF4-FFF2-40B4-BE49-F238E27FC236}">
              <a16:creationId xmlns:a16="http://schemas.microsoft.com/office/drawing/2014/main" id="{946893C4-E713-F3F8-192A-1C6B5751F373}"/>
            </a:ext>
          </a:extLst>
        </xdr:cNvPr>
        <xdr:cNvSpPr txBox="1"/>
      </xdr:nvSpPr>
      <xdr:spPr>
        <a:xfrm>
          <a:off x="12352867" y="160867"/>
          <a:ext cx="1786466" cy="262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7</xdr:col>
      <xdr:colOff>499532</xdr:colOff>
      <xdr:row>2</xdr:row>
      <xdr:rowOff>33867</xdr:rowOff>
    </xdr:from>
    <xdr:to>
      <xdr:col>11</xdr:col>
      <xdr:colOff>203199</xdr:colOff>
      <xdr:row>3</xdr:row>
      <xdr:rowOff>127001</xdr:rowOff>
    </xdr:to>
    <xdr:sp macro="" textlink="">
      <xdr:nvSpPr>
        <xdr:cNvPr id="6" name="TextBox 5">
          <a:extLst>
            <a:ext uri="{FF2B5EF4-FFF2-40B4-BE49-F238E27FC236}">
              <a16:creationId xmlns:a16="http://schemas.microsoft.com/office/drawing/2014/main" id="{8BD7CC56-7106-E25F-CD65-3FC13ADE0308}"/>
            </a:ext>
          </a:extLst>
        </xdr:cNvPr>
        <xdr:cNvSpPr txBox="1"/>
      </xdr:nvSpPr>
      <xdr:spPr>
        <a:xfrm>
          <a:off x="4766732" y="601134"/>
          <a:ext cx="2142067"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Rounded MT Bold" panose="020F0704030504030204" pitchFamily="34" charset="0"/>
            </a:rPr>
            <a:t>Sum of in</a:t>
          </a:r>
          <a:r>
            <a:rPr lang="en-IN" sz="1200" baseline="0">
              <a:solidFill>
                <a:schemeClr val="bg1"/>
              </a:solidFill>
              <a:latin typeface="Arial Rounded MT Bold" panose="020F0704030504030204" pitchFamily="34" charset="0"/>
            </a:rPr>
            <a:t> S</a:t>
          </a:r>
          <a:r>
            <a:rPr lang="en-IN" sz="1200">
              <a:solidFill>
                <a:schemeClr val="bg1"/>
              </a:solidFill>
              <a:latin typeface="Arial Rounded MT Bold" panose="020F0704030504030204" pitchFamily="34" charset="0"/>
            </a:rPr>
            <a:t>potify</a:t>
          </a:r>
          <a:r>
            <a:rPr lang="en-IN" sz="1200" baseline="0">
              <a:solidFill>
                <a:schemeClr val="bg1"/>
              </a:solidFill>
              <a:latin typeface="Arial Rounded MT Bold" panose="020F0704030504030204" pitchFamily="34" charset="0"/>
            </a:rPr>
            <a:t> P</a:t>
          </a:r>
          <a:r>
            <a:rPr lang="en-IN" sz="1200">
              <a:solidFill>
                <a:schemeClr val="bg1"/>
              </a:solidFill>
              <a:latin typeface="Arial Rounded MT Bold" panose="020F0704030504030204" pitchFamily="34" charset="0"/>
            </a:rPr>
            <a:t>laylists</a:t>
          </a:r>
        </a:p>
      </xdr:txBody>
    </xdr:sp>
    <xdr:clientData/>
  </xdr:twoCellAnchor>
  <xdr:twoCellAnchor>
    <xdr:from>
      <xdr:col>11</xdr:col>
      <xdr:colOff>381000</xdr:colOff>
      <xdr:row>2</xdr:row>
      <xdr:rowOff>42333</xdr:rowOff>
    </xdr:from>
    <xdr:to>
      <xdr:col>14</xdr:col>
      <xdr:colOff>584200</xdr:colOff>
      <xdr:row>3</xdr:row>
      <xdr:rowOff>101600</xdr:rowOff>
    </xdr:to>
    <xdr:sp macro="" textlink="">
      <xdr:nvSpPr>
        <xdr:cNvPr id="8" name="TextBox 7">
          <a:extLst>
            <a:ext uri="{FF2B5EF4-FFF2-40B4-BE49-F238E27FC236}">
              <a16:creationId xmlns:a16="http://schemas.microsoft.com/office/drawing/2014/main" id="{3944E9CE-FE5F-B26E-C83F-DAF9733BB1E8}"/>
            </a:ext>
          </a:extLst>
        </xdr:cNvPr>
        <xdr:cNvSpPr txBox="1"/>
      </xdr:nvSpPr>
      <xdr:spPr>
        <a:xfrm>
          <a:off x="7086600" y="609600"/>
          <a:ext cx="2032000"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Rounded MT Bold" panose="020F0704030504030204" pitchFamily="34" charset="0"/>
            </a:rPr>
            <a:t>Sum of in</a:t>
          </a:r>
          <a:r>
            <a:rPr lang="en-IN" sz="1200" baseline="0">
              <a:solidFill>
                <a:schemeClr val="bg1"/>
              </a:solidFill>
              <a:latin typeface="Arial Rounded MT Bold" panose="020F0704030504030204" pitchFamily="34" charset="0"/>
            </a:rPr>
            <a:t> A</a:t>
          </a:r>
          <a:r>
            <a:rPr lang="en-IN" sz="1200">
              <a:solidFill>
                <a:schemeClr val="bg1"/>
              </a:solidFill>
              <a:latin typeface="Arial Rounded MT Bold" panose="020F0704030504030204" pitchFamily="34" charset="0"/>
            </a:rPr>
            <a:t>pple</a:t>
          </a:r>
          <a:r>
            <a:rPr lang="en-IN" sz="1200" baseline="0">
              <a:solidFill>
                <a:schemeClr val="bg1"/>
              </a:solidFill>
              <a:latin typeface="Arial Rounded MT Bold" panose="020F0704030504030204" pitchFamily="34" charset="0"/>
            </a:rPr>
            <a:t> P</a:t>
          </a:r>
          <a:r>
            <a:rPr lang="en-IN" sz="1200">
              <a:solidFill>
                <a:schemeClr val="bg1"/>
              </a:solidFill>
              <a:latin typeface="Arial Rounded MT Bold" panose="020F0704030504030204" pitchFamily="34" charset="0"/>
            </a:rPr>
            <a:t>laylists</a:t>
          </a:r>
        </a:p>
      </xdr:txBody>
    </xdr:sp>
    <xdr:clientData/>
  </xdr:twoCellAnchor>
  <xdr:twoCellAnchor>
    <xdr:from>
      <xdr:col>15</xdr:col>
      <xdr:colOff>186265</xdr:colOff>
      <xdr:row>2</xdr:row>
      <xdr:rowOff>0</xdr:rowOff>
    </xdr:from>
    <xdr:to>
      <xdr:col>18</xdr:col>
      <xdr:colOff>550333</xdr:colOff>
      <xdr:row>3</xdr:row>
      <xdr:rowOff>169334</xdr:rowOff>
    </xdr:to>
    <xdr:sp macro="" textlink="">
      <xdr:nvSpPr>
        <xdr:cNvPr id="24" name="TextBox 23">
          <a:extLst>
            <a:ext uri="{FF2B5EF4-FFF2-40B4-BE49-F238E27FC236}">
              <a16:creationId xmlns:a16="http://schemas.microsoft.com/office/drawing/2014/main" id="{1B925FEC-4822-FA09-71E1-4FF95B71495F}"/>
            </a:ext>
          </a:extLst>
        </xdr:cNvPr>
        <xdr:cNvSpPr txBox="1"/>
      </xdr:nvSpPr>
      <xdr:spPr>
        <a:xfrm>
          <a:off x="9330265" y="567267"/>
          <a:ext cx="2192868"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Arial Rounded MT Bold" panose="020F0704030504030204" pitchFamily="34" charset="0"/>
            </a:rPr>
            <a:t>Sum of in</a:t>
          </a:r>
          <a:r>
            <a:rPr lang="en-IN" sz="1200" baseline="0">
              <a:solidFill>
                <a:schemeClr val="bg1"/>
              </a:solidFill>
              <a:latin typeface="Arial Rounded MT Bold" panose="020F0704030504030204" pitchFamily="34" charset="0"/>
            </a:rPr>
            <a:t> D</a:t>
          </a:r>
          <a:r>
            <a:rPr lang="en-IN" sz="1200">
              <a:solidFill>
                <a:schemeClr val="bg1"/>
              </a:solidFill>
              <a:latin typeface="Arial Rounded MT Bold" panose="020F0704030504030204" pitchFamily="34" charset="0"/>
            </a:rPr>
            <a:t>eezer</a:t>
          </a:r>
          <a:r>
            <a:rPr lang="en-IN" sz="1200" baseline="0">
              <a:solidFill>
                <a:schemeClr val="bg1"/>
              </a:solidFill>
              <a:latin typeface="Arial Rounded MT Bold" panose="020F0704030504030204" pitchFamily="34" charset="0"/>
            </a:rPr>
            <a:t> P</a:t>
          </a:r>
          <a:r>
            <a:rPr lang="en-IN" sz="1200">
              <a:solidFill>
                <a:schemeClr val="bg1"/>
              </a:solidFill>
              <a:latin typeface="Arial Rounded MT Bold" panose="020F0704030504030204" pitchFamily="34" charset="0"/>
            </a:rPr>
            <a:t>laylists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b033" refreshedDate="46018.591560185188" createdVersion="8" refreshedVersion="8" minRefreshableVersion="3" recordCount="99" xr:uid="{2A295C73-80BE-42F8-BCC8-44D8E037E524}">
  <cacheSource type="worksheet">
    <worksheetSource ref="A1:Y100" sheet="Spotify Most Streamed Songs"/>
  </cacheSource>
  <cacheFields count="25">
    <cacheField name="track_name" numFmtId="0">
      <sharedItems containsBlank="1" count="100">
        <s v="Seven (feat. Latto) (Explicit Ver.)"/>
        <s v="LALA"/>
        <s v="vampire"/>
        <s v="Cruel Summer"/>
        <s v="WHERE SHE GOES"/>
        <s v="Sprinter"/>
        <s v="Ella Baila Sola"/>
        <s v="Columbia"/>
        <s v="fukumean"/>
        <s v="La Bebe - Remix"/>
        <s v="un x100to"/>
        <s v="Super Shy"/>
        <s v="Flowers"/>
        <s v="Daylight"/>
        <s v="As It Was"/>
        <s v="Kill Bill"/>
        <s v="Cupid - Twin Ver."/>
        <s v="What Was I Made For? "/>
        <s v="Classy 101"/>
        <s v="Like Crazy"/>
        <s v="LADY GAGA"/>
        <s v="I Can See You "/>
        <s v="I Wanna Be Yours"/>
        <s v="Peso Pluma: Bzrp Music Sessions, Vol. 55"/>
        <s v="Popular (with Playboi Carti &amp; Madonna) "/>
        <s v="SABOR FRESA"/>
        <s v="Calm Down (with Selena Gomez)"/>
        <s v="MOJABI GHOST"/>
        <s v="Last Night"/>
        <s v="Dance The Night (From Barbie The Album)"/>
        <s v="Rush"/>
        <s v="TULUM"/>
        <s v="Creepin'"/>
        <s v="Anti-Hero"/>
        <s v="TQG"/>
        <s v="Los del Espacio"/>
        <s v="FrÃ¯Â¿Â½Ã¯Â¿Â½gil (feat. Grupo Front"/>
        <s v="Blank Space"/>
        <s v="Style"/>
        <s v="TQM"/>
        <s v="El Azul"/>
        <s v="Sunflower - Spider-Man: Into the Spider-Verse"/>
        <s v="I'm Good (Blue)"/>
        <s v="See You Again"/>
        <s v="Barbie World (with Aqua) "/>
        <s v="Angels Like You"/>
        <s v="I Ain't Worried"/>
        <s v="Die For You"/>
        <s v="Starboy"/>
        <m/>
        <s v="Die For You - Remix" u="1"/>
        <s v="El Cielo" u="1"/>
        <s v="Baby Don't Hurt Me" u="1"/>
        <s v="AMARGURA" u="1"/>
        <s v="(It Goes Like) Nanana - Edit" u="1"/>
        <s v="Another Love" u="1"/>
        <s v="Blinding Lights" u="1"/>
        <s v="Moonlight" u="1"/>
        <s v="La Bachata" u="1"/>
        <s v="S91" u="1"/>
        <s v="cardigan" u="1"/>
        <s v="TÃ¯Â¿Â½Ã¯Â¿" u="1"/>
        <s v="Boy's a liar Pt. 2" u="1"/>
        <s v="Left and Right (Feat. Jung Kook of BTS)" u="1"/>
        <s v="BESO" u="1"/>
        <s v="Hey Mor" u="1"/>
        <s v="Yellow" u="1"/>
        <s v="Karma" u="1"/>
        <s v="People" u="1"/>
        <s v="Overdrive" u="1"/>
        <s v="Enchanted (Taylor's Version)" u="1"/>
        <s v="BABY HELLO" u="1"/>
        <s v="Heat Waves" u="1"/>
        <s v="golden hour" u="1"/>
        <s v="Sweater Weather" u="1"/>
        <s v="Quevedo: Bzrp Music Sessions, Vol. 52" u="1"/>
        <s v="Viva La Vida" u="1"/>
        <s v="Here With Me" u="1"/>
        <s v="Unholy (feat. Kim Petras)" u="1"/>
        <s v="Yandel 150" u="1"/>
        <s v="CORAZÃ¯Â¿Â½Ã¯Â¿Â½N VA" u="1"/>
        <s v="Riptide" u="1"/>
        <s v="Until I Found You (with Em Beihold) " u="1"/>
        <s v="Novidade na Ã¯Â¿Â½Ã¯Â¿" u="1"/>
        <s v="Back To December (Taylor's Version)" u="1"/>
        <s v="STAY (with Justin Bieber)" u="1"/>
        <s v="El Merengue" u="1"/>
        <s v="Someone You Loved" u="1"/>
        <s v="Me Porto Bonito" u="1"/>
        <s v="Makeba" u="1"/>
        <s v="MONTAGEM - FR PUNK" u="1"/>
        <s v="Fast Car" u="1"/>
        <s v="What It Is (Solo Version)" u="1"/>
        <s v="Coco Chanel" u="1"/>
        <s v="DonÃ¯Â¿Â½Ã¯Â¿Â½Ã¯Â¿Â½t Bl" u="1"/>
        <s v="Still With You" u="1"/>
        <s v="All My Life (feat. J. Cole)" u="1"/>
        <s v="Say Yes To Heaven" u="1"/>
        <s v="Snooze" u="1"/>
        <s v="Summertime Sadness" u="1"/>
      </sharedItems>
    </cacheField>
    <cacheField name="artist(s)_name" numFmtId="0">
      <sharedItems containsBlank="1" count="44">
        <s v="Latto, Jung Kook"/>
        <s v="Myke Towers"/>
        <s v="Olivia Rodrigo"/>
        <s v="Taylor Swift"/>
        <s v="Bad Bunny"/>
        <s v="Dave, Central Cee"/>
        <s v="Eslabon Armado, Peso Pluma"/>
        <s v="Quevedo"/>
        <s v="Gunna"/>
        <s v="Peso Pluma, Yng Lvcas"/>
        <s v="Bad Bunny, Grupo Frontera"/>
        <s v="NewJeans"/>
        <s v="Miley Cyrus"/>
        <s v="David Kushner"/>
        <s v="Harry Styles"/>
        <s v="SZA"/>
        <s v="Fifty Fifty"/>
        <s v="Billie Eilish"/>
        <s v="Feid, Young Miko"/>
        <s v="Jimin"/>
        <s v="Gabito Ballesteros, Junior H, Peso Pluma"/>
        <s v="Arctic Monkeys"/>
        <s v="Bizarrap, Peso Pluma"/>
        <s v="The Weeknd, Madonna, Playboi Carti"/>
        <s v="Fuerza Regida"/>
        <s v="RÃ¯Â¿Â½Ã¯Â¿Â½ma, Selena G"/>
        <s v="Tainy, Bad Bunny"/>
        <s v="Morgan Wallen"/>
        <s v="Dua Lipa"/>
        <s v="Troye Sivan"/>
        <s v="Peso Pluma, Grupo Frontera"/>
        <s v="The Weeknd, 21 Savage, Metro Boomin"/>
        <s v="Karol G, Shakira"/>
        <s v="Big One, Duki, Lit Killah, Maria Becerra, FMK, Rusherking, Emilia, Tiago pzk"/>
        <s v="Yahritza Y Su Esencia, Grupo Frontera"/>
        <s v="Junior H, Peso Pluma"/>
        <s v="Post Malone, Swae Lee"/>
        <s v="Bebe Rexha, David Guetta"/>
        <s v="Tyler, The Creator, Kali Uchis"/>
        <s v="Nicki Minaj, Aqua, Ice Spice"/>
        <s v="OneRepublic"/>
        <s v="The Weeknd"/>
        <s v="The Weeknd, Daft Punk"/>
        <m/>
      </sharedItems>
    </cacheField>
    <cacheField name="artist_count" numFmtId="0">
      <sharedItems containsString="0" containsBlank="1" containsNumber="1" containsInteger="1" minValue="1" maxValue="8"/>
    </cacheField>
    <cacheField name="released_year" numFmtId="0">
      <sharedItems containsString="0" containsBlank="1" containsNumber="1" containsInteger="1" minValue="2013" maxValue="2023"/>
    </cacheField>
    <cacheField name="released_month" numFmtId="0">
      <sharedItems containsString="0" containsBlank="1" containsNumber="1" containsInteger="1" minValue="1" maxValue="12"/>
    </cacheField>
    <cacheField name="released_day" numFmtId="0">
      <sharedItems containsString="0" containsBlank="1" containsNumber="1" containsInteger="1" minValue="1" maxValue="31"/>
    </cacheField>
    <cacheField name="in_spotify_playlists" numFmtId="0">
      <sharedItems containsString="0" containsBlank="1" containsNumber="1" containsInteger="1" minValue="250" maxValue="29536"/>
    </cacheField>
    <cacheField name="in_spotify_charts" numFmtId="0">
      <sharedItems containsString="0" containsBlank="1" containsNumber="1" containsInteger="1" minValue="19" maxValue="147"/>
    </cacheField>
    <cacheField name="streams" numFmtId="0">
      <sharedItems containsString="0" containsBlank="1" containsNumber="1" containsInteger="1" minValue="30742" maxValue="2808096550"/>
    </cacheField>
    <cacheField name="in_apple_playlists" numFmtId="0">
      <sharedItems containsString="0" containsBlank="1" containsNumber="1" containsInteger="1" minValue="0" maxValue="403"/>
    </cacheField>
    <cacheField name="in_apple_charts" numFmtId="0">
      <sharedItems containsString="0" containsBlank="1" containsNumber="1" containsInteger="1" minValue="0" maxValue="263"/>
    </cacheField>
    <cacheField name="in_deezer_playlists" numFmtId="0">
      <sharedItems containsString="0" containsBlank="1" containsNumber="1" containsInteger="1" minValue="6" maxValue="2445"/>
    </cacheField>
    <cacheField name="in_deezer_charts" numFmtId="0">
      <sharedItems containsString="0" containsBlank="1" containsNumber="1" containsInteger="1" minValue="0" maxValue="58"/>
    </cacheField>
    <cacheField name="in_shazam_charts" numFmtId="0">
      <sharedItems containsString="0" containsBlank="1" containsNumber="1" containsInteger="1" minValue="0" maxValue="1281"/>
    </cacheField>
    <cacheField name="bpm" numFmtId="0">
      <sharedItems containsString="0" containsBlank="1" containsNumber="1" containsInteger="1" minValue="78" maxValue="204"/>
    </cacheField>
    <cacheField name="key" numFmtId="0">
      <sharedItems containsBlank="1"/>
    </cacheField>
    <cacheField name="mode" numFmtId="0">
      <sharedItems containsBlank="1"/>
    </cacheField>
    <cacheField name="danceability_%" numFmtId="0">
      <sharedItems containsString="0" containsBlank="1" containsNumber="1" containsInteger="1" minValue="44" maxValue="92"/>
    </cacheField>
    <cacheField name="valence_%" numFmtId="0">
      <sharedItems containsString="0" containsBlank="1" containsNumber="1" containsInteger="1" minValue="14" maxValue="96"/>
    </cacheField>
    <cacheField name="energy_%" numFmtId="0">
      <sharedItems containsString="0" containsBlank="1" containsNumber="1" containsInteger="1" minValue="9" maxValue="97"/>
    </cacheField>
    <cacheField name="acousticness_%" numFmtId="0">
      <sharedItems containsString="0" containsBlank="1" containsNumber="1" containsInteger="1" minValue="0" maxValue="96"/>
    </cacheField>
    <cacheField name="instrumentalness_%" numFmtId="0">
      <sharedItems containsString="0" containsBlank="1" containsNumber="1" containsInteger="1" minValue="0" maxValue="63"/>
    </cacheField>
    <cacheField name="liveness_%" numFmtId="0">
      <sharedItems containsString="0" containsBlank="1" containsNumber="1" containsInteger="1" minValue="3" maxValue="56"/>
    </cacheField>
    <cacheField name="speechiness_%" numFmtId="0">
      <sharedItems containsString="0" containsBlank="1" containsNumber="1" containsInteger="1" minValue="3" maxValue="33"/>
    </cacheField>
    <cacheField name="aaa" numFmtId="0">
      <sharedItems containsNonDate="0" containsString="0" containsBlank="1"/>
    </cacheField>
  </cacheFields>
  <extLst>
    <ext xmlns:x14="http://schemas.microsoft.com/office/spreadsheetml/2009/9/main" uri="{725AE2AE-9491-48be-B2B4-4EB974FC3084}">
      <x14:pivotCacheDefinition pivotCacheId="17519138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b033" refreshedDate="46018.60131701389" createdVersion="8" refreshedVersion="8" minRefreshableVersion="3" recordCount="49" xr:uid="{3D9B2865-C35B-4AF1-B807-C04A55EF77EA}">
  <cacheSource type="worksheet">
    <worksheetSource ref="A1:Y50" sheet="Spotify Most Streamed Songs"/>
  </cacheSource>
  <cacheFields count="25">
    <cacheField name="track_name" numFmtId="0">
      <sharedItems/>
    </cacheField>
    <cacheField name="artist(s)_name" numFmtId="0">
      <sharedItems/>
    </cacheField>
    <cacheField name="artist_count" numFmtId="0">
      <sharedItems containsSemiMixedTypes="0" containsString="0" containsNumber="1" containsInteger="1" minValue="1" maxValue="8" count="4">
        <n v="2"/>
        <n v="1"/>
        <n v="3"/>
        <n v="8"/>
      </sharedItems>
    </cacheField>
    <cacheField name="released_year" numFmtId="0">
      <sharedItems containsSemiMixedTypes="0" containsString="0" containsNumber="1" containsInteger="1" minValue="2013" maxValue="2023"/>
    </cacheField>
    <cacheField name="released_month" numFmtId="0">
      <sharedItems containsSemiMixedTypes="0" containsString="0" containsNumber="1" containsInteger="1" minValue="1" maxValue="12"/>
    </cacheField>
    <cacheField name="released_day" numFmtId="0">
      <sharedItems containsSemiMixedTypes="0" containsString="0" containsNumber="1" containsInteger="1" minValue="1" maxValue="31"/>
    </cacheField>
    <cacheField name="in_spotify_playlists" numFmtId="0">
      <sharedItems containsSemiMixedTypes="0" containsString="0" containsNumber="1" containsInteger="1" minValue="250" maxValue="29536"/>
    </cacheField>
    <cacheField name="in_spotify_charts" numFmtId="0">
      <sharedItems containsSemiMixedTypes="0" containsString="0" containsNumber="1" containsInteger="1" minValue="19" maxValue="147"/>
    </cacheField>
    <cacheField name="streams" numFmtId="0">
      <sharedItems containsSemiMixedTypes="0" containsString="0" containsNumber="1" containsInteger="1" minValue="30742" maxValue="2808096550"/>
    </cacheField>
    <cacheField name="in_apple_playlists" numFmtId="0">
      <sharedItems containsSemiMixedTypes="0" containsString="0" containsNumber="1" containsInteger="1" minValue="0" maxValue="403"/>
    </cacheField>
    <cacheField name="in_apple_charts" numFmtId="0">
      <sharedItems containsSemiMixedTypes="0" containsString="0" containsNumber="1" containsInteger="1" minValue="0" maxValue="263"/>
    </cacheField>
    <cacheField name="in_deezer_playlists" numFmtId="0">
      <sharedItems containsSemiMixedTypes="0" containsString="0" containsNumber="1" containsInteger="1" minValue="6" maxValue="2445"/>
    </cacheField>
    <cacheField name="in_deezer_charts" numFmtId="0">
      <sharedItems containsSemiMixedTypes="0" containsString="0" containsNumber="1" containsInteger="1" minValue="0" maxValue="58"/>
    </cacheField>
    <cacheField name="in_shazam_charts" numFmtId="0">
      <sharedItems containsString="0" containsBlank="1" containsNumber="1" containsInteger="1" minValue="0" maxValue="1281"/>
    </cacheField>
    <cacheField name="bpm" numFmtId="0">
      <sharedItems containsSemiMixedTypes="0" containsString="0" containsNumber="1" containsInteger="1" minValue="78" maxValue="204"/>
    </cacheField>
    <cacheField name="key" numFmtId="0">
      <sharedItems containsBlank="1"/>
    </cacheField>
    <cacheField name="mode" numFmtId="0">
      <sharedItems/>
    </cacheField>
    <cacheField name="danceability_%" numFmtId="0">
      <sharedItems containsSemiMixedTypes="0" containsString="0" containsNumber="1" containsInteger="1" minValue="44" maxValue="92"/>
    </cacheField>
    <cacheField name="valence_%" numFmtId="0">
      <sharedItems containsSemiMixedTypes="0" containsString="0" containsNumber="1" containsInteger="1" minValue="14" maxValue="96"/>
    </cacheField>
    <cacheField name="energy_%" numFmtId="0">
      <sharedItems containsSemiMixedTypes="0" containsString="0" containsNumber="1" containsInteger="1" minValue="9" maxValue="97"/>
    </cacheField>
    <cacheField name="acousticness_%" numFmtId="0">
      <sharedItems containsSemiMixedTypes="0" containsString="0" containsNumber="1" containsInteger="1" minValue="0" maxValue="96"/>
    </cacheField>
    <cacheField name="instrumentalness_%" numFmtId="0">
      <sharedItems containsSemiMixedTypes="0" containsString="0" containsNumber="1" containsInteger="1" minValue="0" maxValue="63"/>
    </cacheField>
    <cacheField name="liveness_%" numFmtId="0">
      <sharedItems containsSemiMixedTypes="0" containsString="0" containsNumber="1" containsInteger="1" minValue="3" maxValue="56"/>
    </cacheField>
    <cacheField name="speechiness_%" numFmtId="0">
      <sharedItems containsSemiMixedTypes="0" containsString="0" containsNumber="1" containsInteger="1" minValue="3" maxValue="33"/>
    </cacheField>
    <cacheField name="aa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b033" refreshedDate="46018.618138425925" createdVersion="8" refreshedVersion="8" minRefreshableVersion="3" recordCount="49" xr:uid="{5C5F0177-CCE1-49D8-B46B-EE8BC69D81FF}">
  <cacheSource type="worksheet">
    <worksheetSource ref="A1:Y50" sheet="Spotify Most Streamed Songs"/>
  </cacheSource>
  <cacheFields count="25">
    <cacheField name="track_name" numFmtId="0">
      <sharedItems count="49">
        <s v="Seven (feat. Latto) (Explicit Ver.)"/>
        <s v="LALA"/>
        <s v="vampire"/>
        <s v="Cruel Summer"/>
        <s v="WHERE SHE GOES"/>
        <s v="Sprinter"/>
        <s v="Ella Baila Sola"/>
        <s v="Columbia"/>
        <s v="fukumean"/>
        <s v="La Bebe - Remix"/>
        <s v="un x100to"/>
        <s v="Super Shy"/>
        <s v="Flowers"/>
        <s v="Daylight"/>
        <s v="As It Was"/>
        <s v="Kill Bill"/>
        <s v="Cupid - Twin Ver."/>
        <s v="What Was I Made For? "/>
        <s v="Classy 101"/>
        <s v="Like Crazy"/>
        <s v="LADY GAGA"/>
        <s v="I Can See You "/>
        <s v="I Wanna Be Yours"/>
        <s v="Peso Pluma: Bzrp Music Sessions, Vol. 55"/>
        <s v="Popular (with Playboi Carti &amp; Madonna) "/>
        <s v="SABOR FRESA"/>
        <s v="Calm Down (with Selena Gomez)"/>
        <s v="MOJABI GHOST"/>
        <s v="Last Night"/>
        <s v="Dance The Night (From Barbie The Album)"/>
        <s v="Rush"/>
        <s v="TULUM"/>
        <s v="Creepin'"/>
        <s v="Anti-Hero"/>
        <s v="TQG"/>
        <s v="Los del Espacio"/>
        <s v="FrÃ¯Â¿Â½Ã¯Â¿Â½gil (feat. Grupo Front"/>
        <s v="Blank Space"/>
        <s v="Style"/>
        <s v="TQM"/>
        <s v="El Azul"/>
        <s v="Sunflower - Spider-Man: Into the Spider-Verse"/>
        <s v="I'm Good (Blue)"/>
        <s v="See You Again"/>
        <s v="Barbie World (with Aqua) "/>
        <s v="Angels Like You"/>
        <s v="I Ain't Worried"/>
        <s v="Die For You"/>
        <s v="Starboy"/>
      </sharedItems>
    </cacheField>
    <cacheField name="artist(s)_name" numFmtId="0">
      <sharedItems count="43">
        <s v="Latto, Jung Kook"/>
        <s v="Myke Towers"/>
        <s v="Olivia Rodrigo"/>
        <s v="Taylor Swift"/>
        <s v="Bad Bunny"/>
        <s v="Dave, Central Cee"/>
        <s v="Eslabon Armado, Peso Pluma"/>
        <s v="Quevedo"/>
        <s v="Gunna"/>
        <s v="Peso Pluma, Yng Lvcas"/>
        <s v="Bad Bunny, Grupo Frontera"/>
        <s v="NewJeans"/>
        <s v="Miley Cyrus"/>
        <s v="David Kushner"/>
        <s v="Harry Styles"/>
        <s v="SZA"/>
        <s v="Fifty Fifty"/>
        <s v="Billie Eilish"/>
        <s v="Feid, Young Miko"/>
        <s v="Jimin"/>
        <s v="Gabito Ballesteros, Junior H, Peso Pluma"/>
        <s v="Arctic Monkeys"/>
        <s v="Bizarrap, Peso Pluma"/>
        <s v="The Weeknd, Madonna, Playboi Carti"/>
        <s v="Fuerza Regida"/>
        <s v="RÃ¯Â¿Â½Ã¯Â¿Â½ma, Selena G"/>
        <s v="Tainy, Bad Bunny"/>
        <s v="Morgan Wallen"/>
        <s v="Dua Lipa"/>
        <s v="Troye Sivan"/>
        <s v="Peso Pluma, Grupo Frontera"/>
        <s v="The Weeknd, 21 Savage, Metro Boomin"/>
        <s v="Karol G, Shakira"/>
        <s v="Big One, Duki, Lit Killah, Maria Becerra, FMK, Rusherking, Emilia, Tiago pzk"/>
        <s v="Yahritza Y Su Esencia, Grupo Frontera"/>
        <s v="Junior H, Peso Pluma"/>
        <s v="Post Malone, Swae Lee"/>
        <s v="Bebe Rexha, David Guetta"/>
        <s v="Tyler, The Creator, Kali Uchis"/>
        <s v="Nicki Minaj, Aqua, Ice Spice"/>
        <s v="OneRepublic"/>
        <s v="The Weeknd"/>
        <s v="The Weeknd, Daft Punk"/>
      </sharedItems>
    </cacheField>
    <cacheField name="artist_count" numFmtId="0">
      <sharedItems containsSemiMixedTypes="0" containsString="0" containsNumber="1" containsInteger="1" minValue="1" maxValue="8"/>
    </cacheField>
    <cacheField name="released_year" numFmtId="0">
      <sharedItems containsSemiMixedTypes="0" containsString="0" containsNumber="1" containsInteger="1" minValue="2013" maxValue="2023"/>
    </cacheField>
    <cacheField name="released_month" numFmtId="0">
      <sharedItems containsSemiMixedTypes="0" containsString="0" containsNumber="1" containsInteger="1" minValue="1" maxValue="12"/>
    </cacheField>
    <cacheField name="released_day" numFmtId="0">
      <sharedItems containsSemiMixedTypes="0" containsString="0" containsNumber="1" containsInteger="1" minValue="1" maxValue="31"/>
    </cacheField>
    <cacheField name="in_spotify_playlists" numFmtId="0">
      <sharedItems containsSemiMixedTypes="0" containsString="0" containsNumber="1" containsInteger="1" minValue="250" maxValue="29536" count="49">
        <n v="553"/>
        <n v="1474"/>
        <n v="1397"/>
        <n v="7858"/>
        <n v="3133"/>
        <n v="2186"/>
        <n v="3090"/>
        <n v="714"/>
        <n v="1096"/>
        <n v="2953"/>
        <n v="2876"/>
        <n v="422"/>
        <n v="12211"/>
        <n v="3528"/>
        <n v="23575"/>
        <n v="8109"/>
        <n v="2942"/>
        <n v="873"/>
        <n v="2610"/>
        <n v="596"/>
        <n v="332"/>
        <n v="516"/>
        <n v="12859"/>
        <n v="1313"/>
        <n v="1945"/>
        <n v="250"/>
        <n v="7112"/>
        <n v="859"/>
        <n v="2420"/>
        <n v="2988"/>
        <n v="864"/>
        <n v="266"/>
        <n v="6036"/>
        <n v="9082"/>
        <n v="4284"/>
        <n v="1150"/>
        <n v="672"/>
        <n v="11434"/>
        <n v="7830"/>
        <n v="584"/>
        <n v="692"/>
        <n v="24094"/>
        <n v="12482"/>
        <n v="13387"/>
        <n v="1117"/>
        <n v="3372"/>
        <n v="8431"/>
        <n v="2483"/>
        <n v="29536"/>
      </sharedItems>
    </cacheField>
    <cacheField name="in_spotify_charts" numFmtId="0">
      <sharedItems containsSemiMixedTypes="0" containsString="0" containsNumber="1" containsInteger="1" minValue="19" maxValue="147"/>
    </cacheField>
    <cacheField name="streams" numFmtId="0">
      <sharedItems containsSemiMixedTypes="0" containsString="0" containsNumber="1" containsInteger="1" minValue="30742" maxValue="2808096550"/>
    </cacheField>
    <cacheField name="in_apple_playlists" numFmtId="0">
      <sharedItems containsSemiMixedTypes="0" containsString="0" containsNumber="1" containsInteger="1" minValue="0" maxValue="403"/>
    </cacheField>
    <cacheField name="in_apple_charts" numFmtId="0">
      <sharedItems containsSemiMixedTypes="0" containsString="0" containsNumber="1" containsInteger="1" minValue="0" maxValue="263"/>
    </cacheField>
    <cacheField name="in_deezer_playlists" numFmtId="0">
      <sharedItems containsSemiMixedTypes="0" containsString="0" containsNumber="1" containsInteger="1" minValue="6" maxValue="2445" count="44">
        <n v="45"/>
        <n v="58"/>
        <n v="91"/>
        <n v="125"/>
        <n v="87"/>
        <n v="88"/>
        <n v="43"/>
        <n v="30"/>
        <n v="48"/>
        <n v="66"/>
        <n v="54"/>
        <n v="21"/>
        <n v="745"/>
        <n v="182"/>
        <n v="863"/>
        <n v="161"/>
        <n v="78"/>
        <n v="95"/>
        <n v="23"/>
        <n v="10"/>
        <n v="42"/>
        <n v="582"/>
        <n v="32"/>
        <n v="318"/>
        <n v="41"/>
        <n v="15"/>
        <n v="143"/>
        <n v="50"/>
        <n v="13"/>
        <n v="245"/>
        <n v="165"/>
        <n v="184"/>
        <n v="34"/>
        <n v="24"/>
        <n v="410"/>
        <n v="151"/>
        <n v="6"/>
        <n v="843"/>
        <n v="537"/>
        <n v="247"/>
        <n v="65"/>
        <n v="138"/>
        <n v="458"/>
        <n v="2445"/>
      </sharedItems>
    </cacheField>
    <cacheField name="in_deezer_charts" numFmtId="0">
      <sharedItems containsSemiMixedTypes="0" containsString="0" containsNumber="1" containsInteger="1" minValue="0" maxValue="58"/>
    </cacheField>
    <cacheField name="in_shazam_charts" numFmtId="0">
      <sharedItems containsString="0" containsBlank="1" containsNumber="1" containsInteger="1" minValue="0" maxValue="1281" count="45">
        <n v="826"/>
        <n v="382"/>
        <n v="949"/>
        <n v="548"/>
        <n v="425"/>
        <n v="946"/>
        <n v="418"/>
        <n v="194"/>
        <n v="953"/>
        <n v="339"/>
        <n v="251"/>
        <n v="168"/>
        <n v="1021"/>
        <n v="1281"/>
        <m/>
        <n v="187"/>
        <n v="0"/>
        <n v="1173"/>
        <n v="29"/>
        <n v="150"/>
        <n v="73"/>
        <n v="139"/>
        <n v="1093"/>
        <n v="96"/>
        <n v="211"/>
        <n v="325"/>
        <n v="294"/>
        <n v="197"/>
        <n v="27"/>
        <n v="310"/>
        <n v="354"/>
        <n v="184"/>
        <n v="212"/>
        <n v="81"/>
        <n v="82"/>
        <n v="100"/>
        <n v="62"/>
        <n v="69"/>
        <n v="727"/>
        <n v="311"/>
        <n v="1133"/>
        <n v="102"/>
        <n v="332"/>
        <n v="259"/>
        <n v="140"/>
      </sharedItems>
    </cacheField>
    <cacheField name="bpm" numFmtId="0">
      <sharedItems containsSemiMixedTypes="0" containsString="0" containsNumber="1" containsInteger="1" minValue="78" maxValue="204"/>
    </cacheField>
    <cacheField name="key" numFmtId="0">
      <sharedItems containsBlank="1"/>
    </cacheField>
    <cacheField name="mode" numFmtId="0">
      <sharedItems/>
    </cacheField>
    <cacheField name="danceability_%" numFmtId="0">
      <sharedItems containsSemiMixedTypes="0" containsString="0" containsNumber="1" containsInteger="1" minValue="44" maxValue="92"/>
    </cacheField>
    <cacheField name="valence_%" numFmtId="0">
      <sharedItems containsSemiMixedTypes="0" containsString="0" containsNumber="1" containsInteger="1" minValue="14" maxValue="96"/>
    </cacheField>
    <cacheField name="energy_%" numFmtId="0">
      <sharedItems containsSemiMixedTypes="0" containsString="0" containsNumber="1" containsInteger="1" minValue="9" maxValue="97"/>
    </cacheField>
    <cacheField name="acousticness_%" numFmtId="0">
      <sharedItems containsSemiMixedTypes="0" containsString="0" containsNumber="1" containsInteger="1" minValue="0" maxValue="96"/>
    </cacheField>
    <cacheField name="instrumentalness_%" numFmtId="0">
      <sharedItems containsSemiMixedTypes="0" containsString="0" containsNumber="1" containsInteger="1" minValue="0" maxValue="63" count="4">
        <n v="0"/>
        <n v="63"/>
        <n v="17"/>
        <n v="2"/>
      </sharedItems>
    </cacheField>
    <cacheField name="liveness_%" numFmtId="0">
      <sharedItems containsSemiMixedTypes="0" containsString="0" containsNumber="1" containsInteger="1" minValue="3" maxValue="56"/>
    </cacheField>
    <cacheField name="speechiness_%" numFmtId="0">
      <sharedItems containsSemiMixedTypes="0" containsString="0" containsNumber="1" containsInteger="1" minValue="3" maxValue="33"/>
    </cacheField>
    <cacheField name="aaa" numFmtId="0">
      <sharedItems containsNonDate="0" containsString="0" containsBlank="1"/>
    </cacheField>
  </cacheFields>
  <extLst>
    <ext xmlns:x14="http://schemas.microsoft.com/office/spreadsheetml/2009/9/main" uri="{725AE2AE-9491-48be-B2B4-4EB974FC3084}">
      <x14:pivotCacheDefinition pivotCacheId="5815021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b033" refreshedDate="46018.619901273145" createdVersion="8" refreshedVersion="8" minRefreshableVersion="3" recordCount="49" xr:uid="{72698B81-BD6C-4B51-BB28-5082C40447CF}">
  <cacheSource type="worksheet">
    <worksheetSource ref="A1:Y50" sheet="Spotify Most Streamed Songs"/>
  </cacheSource>
  <cacheFields count="25">
    <cacheField name="track_name" numFmtId="0">
      <sharedItems/>
    </cacheField>
    <cacheField name="artist(s)_name" numFmtId="0">
      <sharedItems/>
    </cacheField>
    <cacheField name="artist_count" numFmtId="0">
      <sharedItems containsSemiMixedTypes="0" containsString="0" containsNumber="1" containsInteger="1" minValue="1" maxValue="8"/>
    </cacheField>
    <cacheField name="released_year" numFmtId="0">
      <sharedItems containsSemiMixedTypes="0" containsString="0" containsNumber="1" containsInteger="1" minValue="2013" maxValue="2023"/>
    </cacheField>
    <cacheField name="released_month" numFmtId="0">
      <sharedItems containsSemiMixedTypes="0" containsString="0" containsNumber="1" containsInteger="1" minValue="1" maxValue="12"/>
    </cacheField>
    <cacheField name="released_day" numFmtId="0">
      <sharedItems containsSemiMixedTypes="0" containsString="0" containsNumber="1" containsInteger="1" minValue="1" maxValue="31"/>
    </cacheField>
    <cacheField name="in_spotify_playlists" numFmtId="0">
      <sharedItems containsSemiMixedTypes="0" containsString="0" containsNumber="1" containsInteger="1" minValue="250" maxValue="29536"/>
    </cacheField>
    <cacheField name="in_spotify_charts" numFmtId="0">
      <sharedItems containsSemiMixedTypes="0" containsString="0" containsNumber="1" containsInteger="1" minValue="19" maxValue="147"/>
    </cacheField>
    <cacheField name="streams" numFmtId="0">
      <sharedItems containsSemiMixedTypes="0" containsString="0" containsNumber="1" containsInteger="1" minValue="30742" maxValue="2808096550"/>
    </cacheField>
    <cacheField name="in_apple_playlists" numFmtId="0">
      <sharedItems containsSemiMixedTypes="0" containsString="0" containsNumber="1" containsInteger="1" minValue="0" maxValue="403"/>
    </cacheField>
    <cacheField name="in_apple_charts" numFmtId="0">
      <sharedItems containsSemiMixedTypes="0" containsString="0" containsNumber="1" containsInteger="1" minValue="0" maxValue="263" count="44">
        <n v="263"/>
        <n v="126"/>
        <n v="207"/>
        <n v="133"/>
        <n v="213"/>
        <n v="222"/>
        <n v="89"/>
        <n v="210"/>
        <n v="110"/>
        <n v="205"/>
        <n v="202"/>
        <n v="215"/>
        <n v="156"/>
        <n v="198"/>
        <n v="162"/>
        <n v="212"/>
        <n v="227"/>
        <n v="100"/>
        <n v="104"/>
        <n v="163"/>
        <n v="119"/>
        <n v="98"/>
        <n v="152"/>
        <n v="182"/>
        <n v="149"/>
        <n v="109"/>
        <n v="107"/>
        <n v="0"/>
        <n v="135"/>
        <n v="185"/>
        <n v="142"/>
        <n v="123"/>
        <n v="33"/>
        <n v="108"/>
        <n v="111"/>
        <n v="159"/>
        <n v="117"/>
        <n v="184"/>
        <n v="58"/>
        <n v="145"/>
        <n v="48"/>
        <n v="127"/>
        <n v="21"/>
        <n v="137"/>
      </sharedItems>
    </cacheField>
    <cacheField name="in_deezer_playlists" numFmtId="0">
      <sharedItems containsSemiMixedTypes="0" containsString="0" containsNumber="1" containsInteger="1" minValue="6" maxValue="2445"/>
    </cacheField>
    <cacheField name="in_deezer_charts" numFmtId="0">
      <sharedItems containsSemiMixedTypes="0" containsString="0" containsNumber="1" containsInteger="1" minValue="0" maxValue="58"/>
    </cacheField>
    <cacheField name="in_shazam_charts" numFmtId="0">
      <sharedItems containsString="0" containsBlank="1" containsNumber="1" containsInteger="1" minValue="0" maxValue="1281"/>
    </cacheField>
    <cacheField name="bpm" numFmtId="0">
      <sharedItems containsSemiMixedTypes="0" containsString="0" containsNumber="1" containsInteger="1" minValue="78" maxValue="204"/>
    </cacheField>
    <cacheField name="key" numFmtId="0">
      <sharedItems containsBlank="1"/>
    </cacheField>
    <cacheField name="mode" numFmtId="0">
      <sharedItems/>
    </cacheField>
    <cacheField name="danceability_%" numFmtId="0">
      <sharedItems containsSemiMixedTypes="0" containsString="0" containsNumber="1" containsInteger="1" minValue="44" maxValue="92"/>
    </cacheField>
    <cacheField name="valence_%" numFmtId="0">
      <sharedItems containsSemiMixedTypes="0" containsString="0" containsNumber="1" containsInteger="1" minValue="14" maxValue="96"/>
    </cacheField>
    <cacheField name="energy_%" numFmtId="0">
      <sharedItems containsSemiMixedTypes="0" containsString="0" containsNumber="1" containsInteger="1" minValue="9" maxValue="97"/>
    </cacheField>
    <cacheField name="acousticness_%" numFmtId="0">
      <sharedItems containsSemiMixedTypes="0" containsString="0" containsNumber="1" containsInteger="1" minValue="0" maxValue="96"/>
    </cacheField>
    <cacheField name="instrumentalness_%" numFmtId="0">
      <sharedItems containsSemiMixedTypes="0" containsString="0" containsNumber="1" containsInteger="1" minValue="0" maxValue="63" count="4">
        <n v="0"/>
        <n v="63"/>
        <n v="17"/>
        <n v="2"/>
      </sharedItems>
    </cacheField>
    <cacheField name="liveness_%" numFmtId="0">
      <sharedItems containsSemiMixedTypes="0" containsString="0" containsNumber="1" containsInteger="1" minValue="3" maxValue="56"/>
    </cacheField>
    <cacheField name="speechiness_%" numFmtId="0">
      <sharedItems containsSemiMixedTypes="0" containsString="0" containsNumber="1" containsInteger="1" minValue="3" maxValue="33"/>
    </cacheField>
    <cacheField name="aaa" numFmtId="0">
      <sharedItems containsNonDate="0" containsString="0" containsBlank="1"/>
    </cacheField>
  </cacheFields>
  <extLst>
    <ext xmlns:x14="http://schemas.microsoft.com/office/spreadsheetml/2009/9/main" uri="{725AE2AE-9491-48be-B2B4-4EB974FC3084}">
      <x14:pivotCacheDefinition pivotCacheId="124070794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b033" refreshedDate="46018.633322222224" createdVersion="8" refreshedVersion="8" minRefreshableVersion="3" recordCount="49" xr:uid="{CB3DF555-538A-49F5-A78A-FFAB460092EB}">
  <cacheSource type="worksheet">
    <worksheetSource ref="A1:U50" sheet="Spotify Most Streamed Songs"/>
  </cacheSource>
  <cacheFields count="21">
    <cacheField name="track_name" numFmtId="0">
      <sharedItems count="49">
        <s v="Seven (feat. Latto) (Explicit Ver.)"/>
        <s v="LALA"/>
        <s v="vampire"/>
        <s v="Cruel Summer"/>
        <s v="WHERE SHE GOES"/>
        <s v="Sprinter"/>
        <s v="Ella Baila Sola"/>
        <s v="Columbia"/>
        <s v="fukumean"/>
        <s v="La Bebe - Remix"/>
        <s v="un x100to"/>
        <s v="Super Shy"/>
        <s v="Flowers"/>
        <s v="Daylight"/>
        <s v="As It Was"/>
        <s v="Kill Bill"/>
        <s v="Cupid - Twin Ver."/>
        <s v="What Was I Made For? "/>
        <s v="Classy 101"/>
        <s v="Like Crazy"/>
        <s v="LADY GAGA"/>
        <s v="I Can See You "/>
        <s v="I Wanna Be Yours"/>
        <s v="Peso Pluma: Bzrp Music Sessions, Vol. 55"/>
        <s v="Popular (with Playboi Carti &amp; Madonna) "/>
        <s v="SABOR FRESA"/>
        <s v="Calm Down (with Selena Gomez)"/>
        <s v="MOJABI GHOST"/>
        <s v="Last Night"/>
        <s v="Dance The Night (From Barbie The Album)"/>
        <s v="Rush"/>
        <s v="TULUM"/>
        <s v="Creepin'"/>
        <s v="Anti-Hero"/>
        <s v="TQG"/>
        <s v="Los del Espacio"/>
        <s v="FrÃ¯Â¿Â½Ã¯Â¿Â½gil (feat. Grupo Front"/>
        <s v="Blank Space"/>
        <s v="Style"/>
        <s v="TQM"/>
        <s v="El Azul"/>
        <s v="Sunflower - Spider-Man: Into the Spider-Verse"/>
        <s v="I'm Good (Blue)"/>
        <s v="See You Again"/>
        <s v="Barbie World (with Aqua) "/>
        <s v="Angels Like You"/>
        <s v="I Ain't Worried"/>
        <s v="Die For You"/>
        <s v="Starboy"/>
      </sharedItems>
    </cacheField>
    <cacheField name="artist(s)_name" numFmtId="0">
      <sharedItems/>
    </cacheField>
    <cacheField name="artist_count" numFmtId="0">
      <sharedItems containsSemiMixedTypes="0" containsString="0" containsNumber="1" containsInteger="1" minValue="1" maxValue="8"/>
    </cacheField>
    <cacheField name="released_year" numFmtId="0">
      <sharedItems containsSemiMixedTypes="0" containsString="0" containsNumber="1" containsInteger="1" minValue="2013" maxValue="2023" count="9">
        <n v="2023"/>
        <n v="2019"/>
        <n v="2022"/>
        <n v="2013"/>
        <n v="2014"/>
        <n v="2018"/>
        <n v="2017"/>
        <n v="2020"/>
        <n v="2016"/>
      </sharedItems>
    </cacheField>
    <cacheField name="released_month" numFmtId="0">
      <sharedItems containsSemiMixedTypes="0" containsString="0" containsNumber="1" containsInteger="1" minValue="1" maxValue="12"/>
    </cacheField>
    <cacheField name="released_day" numFmtId="0">
      <sharedItems containsSemiMixedTypes="0" containsString="0" containsNumber="1" containsInteger="1" minValue="1" maxValue="31"/>
    </cacheField>
    <cacheField name="in_spotify_playlists" numFmtId="0">
      <sharedItems containsSemiMixedTypes="0" containsString="0" containsNumber="1" containsInteger="1" minValue="250" maxValue="29536"/>
    </cacheField>
    <cacheField name="in_spotify_charts" numFmtId="0">
      <sharedItems containsSemiMixedTypes="0" containsString="0" containsNumber="1" containsInteger="1" minValue="19" maxValue="147"/>
    </cacheField>
    <cacheField name="streams" numFmtId="0">
      <sharedItems containsSemiMixedTypes="0" containsString="0" containsNumber="1" containsInteger="1" minValue="30742" maxValue="2808096550"/>
    </cacheField>
    <cacheField name="in_apple_playlists" numFmtId="0">
      <sharedItems containsSemiMixedTypes="0" containsString="0" containsNumber="1" containsInteger="1" minValue="0" maxValue="403"/>
    </cacheField>
    <cacheField name="in_apple_charts" numFmtId="0">
      <sharedItems containsSemiMixedTypes="0" containsString="0" containsNumber="1" containsInteger="1" minValue="0" maxValue="263"/>
    </cacheField>
    <cacheField name="in_deezer_playlists" numFmtId="0">
      <sharedItems containsSemiMixedTypes="0" containsString="0" containsNumber="1" containsInteger="1" minValue="6" maxValue="2445"/>
    </cacheField>
    <cacheField name="in_deezer_charts" numFmtId="0">
      <sharedItems containsSemiMixedTypes="0" containsString="0" containsNumber="1" containsInteger="1" minValue="0" maxValue="58"/>
    </cacheField>
    <cacheField name="in_shazam_charts" numFmtId="0">
      <sharedItems containsString="0" containsBlank="1" containsNumber="1" containsInteger="1" minValue="0" maxValue="1281"/>
    </cacheField>
    <cacheField name="bpm" numFmtId="0">
      <sharedItems containsSemiMixedTypes="0" containsString="0" containsNumber="1" containsInteger="1" minValue="78" maxValue="204"/>
    </cacheField>
    <cacheField name="key" numFmtId="0">
      <sharedItems containsBlank="1"/>
    </cacheField>
    <cacheField name="mode" numFmtId="0">
      <sharedItems/>
    </cacheField>
    <cacheField name="danceability_%" numFmtId="0">
      <sharedItems containsSemiMixedTypes="0" containsString="0" containsNumber="1" containsInteger="1" minValue="44" maxValue="92"/>
    </cacheField>
    <cacheField name="valence_%" numFmtId="0">
      <sharedItems containsSemiMixedTypes="0" containsString="0" containsNumber="1" containsInteger="1" minValue="14" maxValue="96"/>
    </cacheField>
    <cacheField name="energy_%" numFmtId="0">
      <sharedItems containsSemiMixedTypes="0" containsString="0" containsNumber="1" containsInteger="1" minValue="9" maxValue="97"/>
    </cacheField>
    <cacheField name="acousticness_%" numFmtId="0">
      <sharedItems containsSemiMixedTypes="0" containsString="0" containsNumber="1" containsInteger="1" minValue="0" maxValue="96"/>
    </cacheField>
  </cacheFields>
  <extLst>
    <ext xmlns:x14="http://schemas.microsoft.com/office/spreadsheetml/2009/9/main" uri="{725AE2AE-9491-48be-B2B4-4EB974FC3084}">
      <x14:pivotCacheDefinition pivotCacheId="876245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n v="2"/>
    <n v="2023"/>
    <n v="7"/>
    <n v="14"/>
    <n v="553"/>
    <n v="147"/>
    <n v="141381703"/>
    <n v="43"/>
    <n v="263"/>
    <n v="45"/>
    <n v="10"/>
    <n v="826"/>
    <n v="125"/>
    <s v="B"/>
    <s v="Major"/>
    <n v="80"/>
    <n v="89"/>
    <n v="83"/>
    <n v="31"/>
    <n v="0"/>
    <n v="8"/>
    <n v="4"/>
    <m/>
  </r>
  <r>
    <x v="1"/>
    <x v="1"/>
    <n v="1"/>
    <n v="2023"/>
    <n v="3"/>
    <n v="23"/>
    <n v="1474"/>
    <n v="48"/>
    <n v="133716286"/>
    <n v="48"/>
    <n v="126"/>
    <n v="58"/>
    <n v="14"/>
    <n v="382"/>
    <n v="92"/>
    <s v="C#"/>
    <s v="Major"/>
    <n v="71"/>
    <n v="61"/>
    <n v="74"/>
    <n v="7"/>
    <n v="0"/>
    <n v="10"/>
    <n v="4"/>
    <m/>
  </r>
  <r>
    <x v="2"/>
    <x v="2"/>
    <n v="1"/>
    <n v="2023"/>
    <n v="6"/>
    <n v="30"/>
    <n v="1397"/>
    <n v="113"/>
    <n v="140003974"/>
    <n v="94"/>
    <n v="207"/>
    <n v="91"/>
    <n v="14"/>
    <n v="949"/>
    <n v="138"/>
    <s v="F"/>
    <s v="Major"/>
    <n v="51"/>
    <n v="32"/>
    <n v="53"/>
    <n v="17"/>
    <n v="0"/>
    <n v="31"/>
    <n v="6"/>
    <m/>
  </r>
  <r>
    <x v="3"/>
    <x v="3"/>
    <n v="1"/>
    <n v="2019"/>
    <n v="8"/>
    <n v="23"/>
    <n v="7858"/>
    <n v="100"/>
    <n v="800840817"/>
    <n v="116"/>
    <n v="207"/>
    <n v="125"/>
    <n v="12"/>
    <n v="548"/>
    <n v="170"/>
    <s v="A"/>
    <s v="Major"/>
    <n v="55"/>
    <n v="58"/>
    <n v="72"/>
    <n v="11"/>
    <n v="0"/>
    <n v="11"/>
    <n v="15"/>
    <m/>
  </r>
  <r>
    <x v="4"/>
    <x v="4"/>
    <n v="1"/>
    <n v="2023"/>
    <n v="5"/>
    <n v="18"/>
    <n v="3133"/>
    <n v="50"/>
    <n v="303236322"/>
    <n v="84"/>
    <n v="133"/>
    <n v="87"/>
    <n v="15"/>
    <n v="425"/>
    <n v="144"/>
    <s v="A"/>
    <s v="Minor"/>
    <n v="65"/>
    <n v="23"/>
    <n v="80"/>
    <n v="14"/>
    <n v="63"/>
    <n v="11"/>
    <n v="6"/>
    <m/>
  </r>
  <r>
    <x v="5"/>
    <x v="5"/>
    <n v="2"/>
    <n v="2023"/>
    <n v="6"/>
    <n v="1"/>
    <n v="2186"/>
    <n v="91"/>
    <n v="183706234"/>
    <n v="67"/>
    <n v="213"/>
    <n v="88"/>
    <n v="17"/>
    <n v="946"/>
    <n v="141"/>
    <s v="C#"/>
    <s v="Major"/>
    <n v="92"/>
    <n v="66"/>
    <n v="58"/>
    <n v="19"/>
    <n v="0"/>
    <n v="8"/>
    <n v="24"/>
    <m/>
  </r>
  <r>
    <x v="6"/>
    <x v="6"/>
    <n v="2"/>
    <n v="2023"/>
    <n v="3"/>
    <n v="16"/>
    <n v="3090"/>
    <n v="50"/>
    <n v="725980112"/>
    <n v="34"/>
    <n v="222"/>
    <n v="43"/>
    <n v="13"/>
    <n v="418"/>
    <n v="148"/>
    <s v="F"/>
    <s v="Minor"/>
    <n v="67"/>
    <n v="83"/>
    <n v="76"/>
    <n v="48"/>
    <n v="0"/>
    <n v="8"/>
    <n v="3"/>
    <m/>
  </r>
  <r>
    <x v="7"/>
    <x v="7"/>
    <n v="1"/>
    <n v="2023"/>
    <n v="7"/>
    <n v="7"/>
    <n v="714"/>
    <n v="43"/>
    <n v="58149378"/>
    <n v="25"/>
    <n v="89"/>
    <n v="30"/>
    <n v="13"/>
    <n v="194"/>
    <n v="100"/>
    <s v="F"/>
    <s v="Major"/>
    <n v="67"/>
    <n v="26"/>
    <n v="71"/>
    <n v="37"/>
    <n v="0"/>
    <n v="11"/>
    <n v="4"/>
    <m/>
  </r>
  <r>
    <x v="8"/>
    <x v="8"/>
    <n v="1"/>
    <n v="2023"/>
    <n v="5"/>
    <n v="15"/>
    <n v="1096"/>
    <n v="83"/>
    <n v="95217315"/>
    <n v="60"/>
    <n v="210"/>
    <n v="48"/>
    <n v="11"/>
    <n v="953"/>
    <n v="130"/>
    <s v="C#"/>
    <s v="Minor"/>
    <n v="85"/>
    <n v="22"/>
    <n v="62"/>
    <n v="12"/>
    <n v="0"/>
    <n v="28"/>
    <n v="9"/>
    <m/>
  </r>
  <r>
    <x v="9"/>
    <x v="9"/>
    <n v="2"/>
    <n v="2023"/>
    <n v="3"/>
    <n v="17"/>
    <n v="2953"/>
    <n v="44"/>
    <n v="553634067"/>
    <n v="49"/>
    <n v="110"/>
    <n v="66"/>
    <n v="13"/>
    <n v="339"/>
    <n v="170"/>
    <s v="D"/>
    <s v="Minor"/>
    <n v="81"/>
    <n v="56"/>
    <n v="48"/>
    <n v="21"/>
    <n v="0"/>
    <n v="8"/>
    <n v="33"/>
    <m/>
  </r>
  <r>
    <x v="10"/>
    <x v="10"/>
    <n v="2"/>
    <n v="2023"/>
    <n v="4"/>
    <n v="17"/>
    <n v="2876"/>
    <n v="40"/>
    <n v="505671438"/>
    <n v="41"/>
    <n v="205"/>
    <n v="54"/>
    <n v="12"/>
    <n v="251"/>
    <n v="83"/>
    <s v="F#"/>
    <s v="Minor"/>
    <n v="57"/>
    <n v="56"/>
    <n v="72"/>
    <n v="23"/>
    <n v="0"/>
    <n v="27"/>
    <n v="5"/>
    <m/>
  </r>
  <r>
    <x v="11"/>
    <x v="11"/>
    <n v="1"/>
    <n v="2023"/>
    <n v="7"/>
    <n v="7"/>
    <n v="422"/>
    <n v="55"/>
    <n v="58255150"/>
    <n v="37"/>
    <n v="202"/>
    <n v="21"/>
    <n v="5"/>
    <n v="168"/>
    <n v="150"/>
    <s v="F"/>
    <s v="Minor"/>
    <n v="78"/>
    <n v="52"/>
    <n v="82"/>
    <n v="18"/>
    <n v="0"/>
    <n v="15"/>
    <n v="7"/>
    <m/>
  </r>
  <r>
    <x v="12"/>
    <x v="12"/>
    <n v="1"/>
    <n v="2023"/>
    <n v="1"/>
    <n v="12"/>
    <n v="12211"/>
    <n v="115"/>
    <n v="1316855716"/>
    <n v="300"/>
    <n v="215"/>
    <n v="745"/>
    <n v="58"/>
    <n v="1021"/>
    <n v="118"/>
    <m/>
    <s v="Major"/>
    <n v="71"/>
    <n v="65"/>
    <n v="68"/>
    <n v="6"/>
    <n v="0"/>
    <n v="3"/>
    <n v="7"/>
    <m/>
  </r>
  <r>
    <x v="13"/>
    <x v="13"/>
    <n v="1"/>
    <n v="2023"/>
    <n v="4"/>
    <n v="14"/>
    <n v="3528"/>
    <n v="98"/>
    <n v="30742"/>
    <n v="80"/>
    <n v="156"/>
    <n v="182"/>
    <n v="24"/>
    <n v="1281"/>
    <n v="130"/>
    <s v="D"/>
    <s v="Minor"/>
    <n v="51"/>
    <n v="32"/>
    <n v="43"/>
    <n v="83"/>
    <n v="0"/>
    <n v="9"/>
    <n v="3"/>
    <m/>
  </r>
  <r>
    <x v="14"/>
    <x v="14"/>
    <n v="1"/>
    <n v="2022"/>
    <n v="3"/>
    <n v="31"/>
    <n v="23575"/>
    <n v="130"/>
    <n v="2513188493"/>
    <n v="403"/>
    <n v="198"/>
    <n v="863"/>
    <n v="46"/>
    <m/>
    <n v="174"/>
    <s v="F#"/>
    <s v="Minor"/>
    <n v="52"/>
    <n v="66"/>
    <n v="73"/>
    <n v="34"/>
    <n v="0"/>
    <n v="31"/>
    <n v="6"/>
    <m/>
  </r>
  <r>
    <x v="15"/>
    <x v="15"/>
    <n v="1"/>
    <n v="2022"/>
    <n v="12"/>
    <n v="8"/>
    <n v="8109"/>
    <n v="77"/>
    <n v="1163093654"/>
    <n v="183"/>
    <n v="162"/>
    <n v="161"/>
    <n v="12"/>
    <n v="187"/>
    <n v="89"/>
    <s v="G#"/>
    <s v="Major"/>
    <n v="64"/>
    <n v="43"/>
    <n v="73"/>
    <n v="5"/>
    <n v="17"/>
    <n v="16"/>
    <n v="4"/>
    <m/>
  </r>
  <r>
    <x v="16"/>
    <x v="16"/>
    <n v="1"/>
    <n v="2023"/>
    <n v="2"/>
    <n v="24"/>
    <n v="2942"/>
    <n v="77"/>
    <n v="496795686"/>
    <n v="91"/>
    <n v="212"/>
    <n v="78"/>
    <n v="6"/>
    <n v="0"/>
    <n v="120"/>
    <s v="B"/>
    <s v="Minor"/>
    <n v="78"/>
    <n v="76"/>
    <n v="59"/>
    <n v="43"/>
    <n v="0"/>
    <n v="34"/>
    <n v="3"/>
    <m/>
  </r>
  <r>
    <x v="17"/>
    <x v="17"/>
    <n v="1"/>
    <n v="2023"/>
    <n v="7"/>
    <n v="13"/>
    <n v="873"/>
    <n v="104"/>
    <n v="30546883"/>
    <n v="80"/>
    <n v="227"/>
    <n v="95"/>
    <n v="24"/>
    <n v="1173"/>
    <n v="78"/>
    <m/>
    <s v="Major"/>
    <n v="44"/>
    <n v="14"/>
    <n v="9"/>
    <n v="96"/>
    <n v="0"/>
    <n v="10"/>
    <n v="3"/>
    <m/>
  </r>
  <r>
    <x v="18"/>
    <x v="18"/>
    <n v="2"/>
    <n v="2023"/>
    <n v="3"/>
    <n v="31"/>
    <n v="2610"/>
    <n v="40"/>
    <n v="335222234"/>
    <n v="43"/>
    <n v="100"/>
    <n v="54"/>
    <n v="14"/>
    <n v="187"/>
    <n v="100"/>
    <s v="B"/>
    <s v="Major"/>
    <n v="86"/>
    <n v="67"/>
    <n v="66"/>
    <n v="14"/>
    <n v="0"/>
    <n v="12"/>
    <n v="16"/>
    <m/>
  </r>
  <r>
    <x v="19"/>
    <x v="19"/>
    <n v="1"/>
    <n v="2023"/>
    <n v="3"/>
    <n v="24"/>
    <n v="596"/>
    <n v="68"/>
    <n v="363369738"/>
    <n v="8"/>
    <n v="104"/>
    <n v="23"/>
    <n v="2"/>
    <n v="29"/>
    <n v="120"/>
    <s v="G"/>
    <s v="Major"/>
    <n v="63"/>
    <n v="36"/>
    <n v="73"/>
    <n v="0"/>
    <n v="0"/>
    <n v="36"/>
    <n v="4"/>
    <m/>
  </r>
  <r>
    <x v="20"/>
    <x v="20"/>
    <n v="3"/>
    <n v="2023"/>
    <n v="6"/>
    <n v="22"/>
    <n v="332"/>
    <n v="26"/>
    <n v="86444842"/>
    <n v="11"/>
    <n v="163"/>
    <n v="10"/>
    <n v="4"/>
    <n v="0"/>
    <n v="140"/>
    <s v="F"/>
    <s v="Minor"/>
    <n v="65"/>
    <n v="87"/>
    <n v="74"/>
    <n v="22"/>
    <n v="0"/>
    <n v="42"/>
    <n v="4"/>
    <m/>
  </r>
  <r>
    <x v="21"/>
    <x v="3"/>
    <n v="1"/>
    <n v="2023"/>
    <n v="7"/>
    <n v="7"/>
    <n v="516"/>
    <n v="38"/>
    <n v="52135248"/>
    <n v="73"/>
    <n v="119"/>
    <n v="42"/>
    <n v="1"/>
    <n v="150"/>
    <n v="123"/>
    <s v="F#"/>
    <s v="Major"/>
    <n v="69"/>
    <n v="82"/>
    <n v="76"/>
    <n v="6"/>
    <n v="0"/>
    <n v="6"/>
    <n v="3"/>
    <m/>
  </r>
  <r>
    <x v="22"/>
    <x v="21"/>
    <n v="1"/>
    <n v="2013"/>
    <n v="1"/>
    <n v="1"/>
    <n v="12859"/>
    <n v="110"/>
    <n v="1297026226"/>
    <n v="24"/>
    <n v="98"/>
    <n v="582"/>
    <n v="2"/>
    <n v="73"/>
    <n v="135"/>
    <m/>
    <s v="Minor"/>
    <n v="48"/>
    <n v="44"/>
    <n v="42"/>
    <n v="12"/>
    <n v="2"/>
    <n v="11"/>
    <n v="3"/>
    <m/>
  </r>
  <r>
    <x v="23"/>
    <x v="22"/>
    <n v="2"/>
    <n v="2023"/>
    <n v="5"/>
    <n v="31"/>
    <n v="1313"/>
    <n v="40"/>
    <n v="200647221"/>
    <n v="17"/>
    <n v="152"/>
    <n v="32"/>
    <n v="11"/>
    <n v="139"/>
    <n v="133"/>
    <s v="F"/>
    <s v="Minor"/>
    <n v="85"/>
    <n v="81"/>
    <n v="67"/>
    <n v="26"/>
    <n v="0"/>
    <n v="12"/>
    <n v="5"/>
    <m/>
  </r>
  <r>
    <x v="24"/>
    <x v="23"/>
    <n v="3"/>
    <n v="2023"/>
    <n v="6"/>
    <n v="2"/>
    <n v="1945"/>
    <n v="87"/>
    <n v="115364561"/>
    <n v="74"/>
    <n v="182"/>
    <n v="87"/>
    <n v="14"/>
    <n v="1093"/>
    <n v="99"/>
    <s v="C#"/>
    <s v="Major"/>
    <n v="85"/>
    <n v="83"/>
    <n v="68"/>
    <n v="7"/>
    <n v="0"/>
    <n v="36"/>
    <n v="20"/>
    <m/>
  </r>
  <r>
    <x v="25"/>
    <x v="24"/>
    <n v="1"/>
    <n v="2023"/>
    <n v="6"/>
    <n v="22"/>
    <n v="250"/>
    <n v="26"/>
    <n v="78300654"/>
    <n v="16"/>
    <n v="149"/>
    <n v="10"/>
    <n v="5"/>
    <n v="168"/>
    <n v="130"/>
    <s v="G"/>
    <s v="Minor"/>
    <n v="79"/>
    <n v="96"/>
    <n v="86"/>
    <n v="9"/>
    <n v="0"/>
    <n v="9"/>
    <n v="9"/>
    <m/>
  </r>
  <r>
    <x v="26"/>
    <x v="25"/>
    <n v="2"/>
    <n v="2022"/>
    <n v="3"/>
    <n v="25"/>
    <n v="7112"/>
    <n v="77"/>
    <n v="899183384"/>
    <n v="202"/>
    <n v="119"/>
    <n v="318"/>
    <n v="38"/>
    <n v="96"/>
    <n v="107"/>
    <s v="B"/>
    <s v="Major"/>
    <n v="80"/>
    <n v="82"/>
    <n v="80"/>
    <n v="43"/>
    <n v="0"/>
    <n v="14"/>
    <n v="4"/>
    <m/>
  </r>
  <r>
    <x v="27"/>
    <x v="26"/>
    <n v="2"/>
    <n v="2023"/>
    <n v="6"/>
    <n v="29"/>
    <n v="859"/>
    <n v="40"/>
    <n v="61245289"/>
    <n v="35"/>
    <n v="109"/>
    <n v="41"/>
    <n v="14"/>
    <n v="211"/>
    <n v="122"/>
    <s v="F#"/>
    <s v="Minor"/>
    <n v="81"/>
    <n v="74"/>
    <n v="71"/>
    <n v="14"/>
    <n v="0"/>
    <n v="56"/>
    <n v="4"/>
    <m/>
  </r>
  <r>
    <x v="28"/>
    <x v="27"/>
    <n v="1"/>
    <n v="2023"/>
    <n v="1"/>
    <n v="31"/>
    <n v="2420"/>
    <n v="19"/>
    <n v="429829812"/>
    <n v="52"/>
    <n v="107"/>
    <n v="15"/>
    <n v="1"/>
    <n v="325"/>
    <n v="204"/>
    <s v="F#"/>
    <s v="Major"/>
    <n v="52"/>
    <n v="52"/>
    <n v="68"/>
    <n v="46"/>
    <n v="0"/>
    <n v="15"/>
    <n v="4"/>
    <m/>
  </r>
  <r>
    <x v="29"/>
    <x v="28"/>
    <n v="1"/>
    <n v="2023"/>
    <n v="5"/>
    <n v="25"/>
    <n v="2988"/>
    <n v="101"/>
    <n v="127408954"/>
    <n v="0"/>
    <n v="0"/>
    <n v="143"/>
    <n v="38"/>
    <n v="0"/>
    <n v="110"/>
    <s v="B"/>
    <s v="Minor"/>
    <n v="67"/>
    <n v="78"/>
    <n v="85"/>
    <n v="2"/>
    <n v="0"/>
    <n v="33"/>
    <n v="5"/>
    <m/>
  </r>
  <r>
    <x v="30"/>
    <x v="29"/>
    <n v="1"/>
    <n v="2023"/>
    <n v="7"/>
    <n v="13"/>
    <n v="864"/>
    <n v="78"/>
    <n v="22581161"/>
    <n v="71"/>
    <n v="135"/>
    <n v="50"/>
    <n v="1"/>
    <n v="294"/>
    <n v="126"/>
    <s v="F"/>
    <s v="Minor"/>
    <n v="74"/>
    <n v="35"/>
    <n v="84"/>
    <n v="0"/>
    <n v="0"/>
    <n v="11"/>
    <n v="6"/>
    <m/>
  </r>
  <r>
    <x v="31"/>
    <x v="30"/>
    <n v="2"/>
    <n v="2023"/>
    <n v="6"/>
    <n v="28"/>
    <n v="266"/>
    <n v="34"/>
    <n v="52294266"/>
    <n v="20"/>
    <n v="185"/>
    <n v="13"/>
    <n v="8"/>
    <n v="197"/>
    <n v="168"/>
    <s v="F#"/>
    <s v="Major"/>
    <n v="56"/>
    <n v="63"/>
    <n v="87"/>
    <n v="39"/>
    <n v="0"/>
    <n v="11"/>
    <n v="5"/>
    <m/>
  </r>
  <r>
    <x v="32"/>
    <x v="31"/>
    <n v="3"/>
    <n v="2022"/>
    <n v="12"/>
    <n v="2"/>
    <n v="6036"/>
    <n v="88"/>
    <n v="843957510"/>
    <n v="113"/>
    <n v="149"/>
    <n v="245"/>
    <n v="23"/>
    <n v="27"/>
    <n v="98"/>
    <s v="C#"/>
    <s v="Minor"/>
    <n v="71"/>
    <n v="17"/>
    <n v="61"/>
    <n v="36"/>
    <n v="0"/>
    <n v="8"/>
    <n v="5"/>
    <m/>
  </r>
  <r>
    <x v="33"/>
    <x v="3"/>
    <n v="1"/>
    <n v="2022"/>
    <n v="10"/>
    <n v="21"/>
    <n v="9082"/>
    <n v="56"/>
    <n v="999748277"/>
    <n v="242"/>
    <n v="142"/>
    <n v="165"/>
    <n v="9"/>
    <n v="310"/>
    <n v="97"/>
    <s v="E"/>
    <s v="Major"/>
    <n v="64"/>
    <n v="51"/>
    <n v="63"/>
    <n v="12"/>
    <n v="0"/>
    <n v="19"/>
    <n v="5"/>
    <m/>
  </r>
  <r>
    <x v="34"/>
    <x v="32"/>
    <n v="2"/>
    <n v="2023"/>
    <n v="2"/>
    <n v="23"/>
    <n v="4284"/>
    <n v="49"/>
    <n v="618990393"/>
    <n v="115"/>
    <n v="123"/>
    <n v="184"/>
    <n v="18"/>
    <n v="354"/>
    <n v="180"/>
    <s v="E"/>
    <s v="Minor"/>
    <n v="72"/>
    <n v="61"/>
    <n v="63"/>
    <n v="67"/>
    <n v="0"/>
    <n v="9"/>
    <n v="28"/>
    <m/>
  </r>
  <r>
    <x v="35"/>
    <x v="33"/>
    <n v="8"/>
    <n v="2023"/>
    <n v="6"/>
    <n v="1"/>
    <n v="1150"/>
    <n v="31"/>
    <n v="123122413"/>
    <n v="22"/>
    <n v="33"/>
    <n v="34"/>
    <n v="7"/>
    <n v="184"/>
    <n v="120"/>
    <m/>
    <s v="Major"/>
    <n v="81"/>
    <n v="63"/>
    <n v="68"/>
    <n v="11"/>
    <n v="0"/>
    <n v="11"/>
    <n v="4"/>
    <m/>
  </r>
  <r>
    <x v="36"/>
    <x v="34"/>
    <n v="2"/>
    <n v="2023"/>
    <n v="4"/>
    <n v="7"/>
    <n v="672"/>
    <n v="34"/>
    <n v="188933502"/>
    <n v="19"/>
    <n v="108"/>
    <n v="24"/>
    <n v="9"/>
    <n v="212"/>
    <n v="150"/>
    <s v="F#"/>
    <s v="Major"/>
    <n v="61"/>
    <n v="39"/>
    <n v="73"/>
    <n v="37"/>
    <n v="0"/>
    <n v="11"/>
    <n v="3"/>
    <m/>
  </r>
  <r>
    <x v="37"/>
    <x v="3"/>
    <n v="1"/>
    <n v="2014"/>
    <n v="1"/>
    <n v="1"/>
    <n v="11434"/>
    <n v="53"/>
    <n v="1355959075"/>
    <n v="154"/>
    <n v="123"/>
    <n v="410"/>
    <n v="2"/>
    <n v="81"/>
    <n v="96"/>
    <s v="F"/>
    <s v="Major"/>
    <n v="75"/>
    <n v="57"/>
    <n v="68"/>
    <n v="9"/>
    <n v="0"/>
    <n v="13"/>
    <n v="6"/>
    <m/>
  </r>
  <r>
    <x v="38"/>
    <x v="3"/>
    <n v="1"/>
    <n v="2014"/>
    <n v="1"/>
    <n v="1"/>
    <n v="7830"/>
    <n v="42"/>
    <n v="786181836"/>
    <n v="94"/>
    <n v="111"/>
    <n v="151"/>
    <n v="4"/>
    <n v="82"/>
    <n v="95"/>
    <s v="D"/>
    <s v="Major"/>
    <n v="60"/>
    <n v="48"/>
    <n v="79"/>
    <n v="0"/>
    <n v="0"/>
    <n v="12"/>
    <n v="4"/>
    <m/>
  </r>
  <r>
    <x v="39"/>
    <x v="24"/>
    <n v="1"/>
    <n v="2023"/>
    <n v="5"/>
    <n v="19"/>
    <n v="584"/>
    <n v="28"/>
    <n v="176553476"/>
    <n v="16"/>
    <n v="159"/>
    <n v="15"/>
    <n v="6"/>
    <n v="100"/>
    <n v="125"/>
    <s v="F"/>
    <s v="Minor"/>
    <n v="79"/>
    <n v="96"/>
    <n v="85"/>
    <n v="27"/>
    <n v="0"/>
    <n v="11"/>
    <n v="6"/>
    <m/>
  </r>
  <r>
    <x v="40"/>
    <x v="35"/>
    <n v="2"/>
    <n v="2023"/>
    <n v="2"/>
    <n v="10"/>
    <n v="692"/>
    <n v="25"/>
    <n v="354495408"/>
    <n v="10"/>
    <n v="107"/>
    <n v="6"/>
    <n v="3"/>
    <n v="62"/>
    <n v="144"/>
    <s v="A"/>
    <s v="Minor"/>
    <n v="56"/>
    <n v="84"/>
    <n v="65"/>
    <n v="23"/>
    <n v="0"/>
    <n v="10"/>
    <n v="6"/>
    <m/>
  </r>
  <r>
    <x v="41"/>
    <x v="36"/>
    <n v="2"/>
    <n v="2018"/>
    <n v="10"/>
    <n v="9"/>
    <n v="24094"/>
    <n v="78"/>
    <n v="2808096550"/>
    <n v="372"/>
    <n v="117"/>
    <n v="843"/>
    <n v="4"/>
    <n v="69"/>
    <n v="90"/>
    <s v="D"/>
    <s v="Major"/>
    <n v="76"/>
    <n v="91"/>
    <n v="50"/>
    <n v="54"/>
    <n v="0"/>
    <n v="7"/>
    <n v="5"/>
    <m/>
  </r>
  <r>
    <x v="42"/>
    <x v="37"/>
    <n v="2"/>
    <n v="2022"/>
    <n v="8"/>
    <n v="26"/>
    <n v="12482"/>
    <n v="80"/>
    <n v="1109433169"/>
    <n v="291"/>
    <n v="184"/>
    <n v="537"/>
    <n v="45"/>
    <n v="727"/>
    <n v="128"/>
    <s v="G"/>
    <s v="Minor"/>
    <n v="56"/>
    <n v="38"/>
    <n v="97"/>
    <n v="4"/>
    <n v="0"/>
    <n v="35"/>
    <n v="4"/>
    <m/>
  </r>
  <r>
    <x v="43"/>
    <x v="38"/>
    <n v="3"/>
    <n v="2017"/>
    <n v="7"/>
    <n v="21"/>
    <n v="13387"/>
    <n v="64"/>
    <n v="1047101291"/>
    <n v="77"/>
    <n v="58"/>
    <n v="247"/>
    <n v="1"/>
    <n v="311"/>
    <n v="79"/>
    <s v="F#"/>
    <s v="Major"/>
    <n v="56"/>
    <n v="58"/>
    <n v="56"/>
    <n v="37"/>
    <n v="0"/>
    <n v="11"/>
    <n v="10"/>
    <m/>
  </r>
  <r>
    <x v="44"/>
    <x v="39"/>
    <n v="3"/>
    <n v="2023"/>
    <n v="6"/>
    <n v="23"/>
    <n v="1117"/>
    <n v="80"/>
    <n v="65156199"/>
    <n v="82"/>
    <n v="145"/>
    <n v="65"/>
    <n v="16"/>
    <n v="1133"/>
    <n v="144"/>
    <m/>
    <s v="Major"/>
    <n v="77"/>
    <n v="75"/>
    <n v="58"/>
    <n v="52"/>
    <n v="0"/>
    <n v="23"/>
    <n v="25"/>
    <m/>
  </r>
  <r>
    <x v="45"/>
    <x v="12"/>
    <n v="1"/>
    <n v="2020"/>
    <n v="11"/>
    <n v="27"/>
    <n v="3372"/>
    <n v="19"/>
    <n v="570515054"/>
    <n v="65"/>
    <n v="48"/>
    <n v="138"/>
    <n v="1"/>
    <n v="102"/>
    <n v="122"/>
    <s v="F"/>
    <s v="Major"/>
    <n v="67"/>
    <n v="49"/>
    <n v="64"/>
    <n v="10"/>
    <n v="0"/>
    <n v="10"/>
    <n v="3"/>
    <m/>
  </r>
  <r>
    <x v="46"/>
    <x v="40"/>
    <n v="1"/>
    <n v="2022"/>
    <n v="5"/>
    <n v="13"/>
    <n v="8431"/>
    <n v="76"/>
    <n v="1085685420"/>
    <n v="241"/>
    <n v="127"/>
    <n v="458"/>
    <n v="37"/>
    <n v="332"/>
    <n v="140"/>
    <m/>
    <s v="Major"/>
    <n v="71"/>
    <n v="82"/>
    <n v="81"/>
    <n v="11"/>
    <n v="0"/>
    <n v="6"/>
    <n v="5"/>
    <m/>
  </r>
  <r>
    <x v="47"/>
    <x v="41"/>
    <n v="1"/>
    <n v="2016"/>
    <n v="11"/>
    <n v="24"/>
    <n v="2483"/>
    <n v="59"/>
    <n v="1647990401"/>
    <n v="68"/>
    <n v="21"/>
    <n v="24"/>
    <n v="0"/>
    <n v="259"/>
    <n v="134"/>
    <s v="C#"/>
    <s v="Minor"/>
    <n v="59"/>
    <n v="51"/>
    <n v="52"/>
    <n v="9"/>
    <n v="0"/>
    <n v="15"/>
    <n v="7"/>
    <m/>
  </r>
  <r>
    <x v="48"/>
    <x v="42"/>
    <n v="2"/>
    <n v="2016"/>
    <n v="9"/>
    <n v="21"/>
    <n v="29536"/>
    <n v="79"/>
    <n v="2565529693"/>
    <n v="281"/>
    <n v="137"/>
    <n v="2445"/>
    <n v="1"/>
    <n v="140"/>
    <n v="186"/>
    <s v="G"/>
    <s v="Major"/>
    <n v="68"/>
    <n v="49"/>
    <n v="59"/>
    <n v="16"/>
    <n v="0"/>
    <n v="13"/>
    <n v="28"/>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r>
    <x v="49"/>
    <x v="4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Seven (feat. Latto) (Explicit Ver.)"/>
    <s v="Latto, Jung Kook"/>
    <x v="0"/>
    <n v="2023"/>
    <n v="7"/>
    <n v="14"/>
    <n v="553"/>
    <n v="147"/>
    <n v="141381703"/>
    <n v="43"/>
    <n v="263"/>
    <n v="45"/>
    <n v="10"/>
    <n v="826"/>
    <n v="125"/>
    <s v="B"/>
    <s v="Major"/>
    <n v="80"/>
    <n v="89"/>
    <n v="83"/>
    <n v="31"/>
    <n v="0"/>
    <n v="8"/>
    <n v="4"/>
    <m/>
  </r>
  <r>
    <s v="LALA"/>
    <s v="Myke Towers"/>
    <x v="1"/>
    <n v="2023"/>
    <n v="3"/>
    <n v="23"/>
    <n v="1474"/>
    <n v="48"/>
    <n v="133716286"/>
    <n v="48"/>
    <n v="126"/>
    <n v="58"/>
    <n v="14"/>
    <n v="382"/>
    <n v="92"/>
    <s v="C#"/>
    <s v="Major"/>
    <n v="71"/>
    <n v="61"/>
    <n v="74"/>
    <n v="7"/>
    <n v="0"/>
    <n v="10"/>
    <n v="4"/>
    <m/>
  </r>
  <r>
    <s v="vampire"/>
    <s v="Olivia Rodrigo"/>
    <x v="1"/>
    <n v="2023"/>
    <n v="6"/>
    <n v="30"/>
    <n v="1397"/>
    <n v="113"/>
    <n v="140003974"/>
    <n v="94"/>
    <n v="207"/>
    <n v="91"/>
    <n v="14"/>
    <n v="949"/>
    <n v="138"/>
    <s v="F"/>
    <s v="Major"/>
    <n v="51"/>
    <n v="32"/>
    <n v="53"/>
    <n v="17"/>
    <n v="0"/>
    <n v="31"/>
    <n v="6"/>
    <m/>
  </r>
  <r>
    <s v="Cruel Summer"/>
    <s v="Taylor Swift"/>
    <x v="1"/>
    <n v="2019"/>
    <n v="8"/>
    <n v="23"/>
    <n v="7858"/>
    <n v="100"/>
    <n v="800840817"/>
    <n v="116"/>
    <n v="207"/>
    <n v="125"/>
    <n v="12"/>
    <n v="548"/>
    <n v="170"/>
    <s v="A"/>
    <s v="Major"/>
    <n v="55"/>
    <n v="58"/>
    <n v="72"/>
    <n v="11"/>
    <n v="0"/>
    <n v="11"/>
    <n v="15"/>
    <m/>
  </r>
  <r>
    <s v="WHERE SHE GOES"/>
    <s v="Bad Bunny"/>
    <x v="1"/>
    <n v="2023"/>
    <n v="5"/>
    <n v="18"/>
    <n v="3133"/>
    <n v="50"/>
    <n v="303236322"/>
    <n v="84"/>
    <n v="133"/>
    <n v="87"/>
    <n v="15"/>
    <n v="425"/>
    <n v="144"/>
    <s v="A"/>
    <s v="Minor"/>
    <n v="65"/>
    <n v="23"/>
    <n v="80"/>
    <n v="14"/>
    <n v="63"/>
    <n v="11"/>
    <n v="6"/>
    <m/>
  </r>
  <r>
    <s v="Sprinter"/>
    <s v="Dave, Central Cee"/>
    <x v="0"/>
    <n v="2023"/>
    <n v="6"/>
    <n v="1"/>
    <n v="2186"/>
    <n v="91"/>
    <n v="183706234"/>
    <n v="67"/>
    <n v="213"/>
    <n v="88"/>
    <n v="17"/>
    <n v="946"/>
    <n v="141"/>
    <s v="C#"/>
    <s v="Major"/>
    <n v="92"/>
    <n v="66"/>
    <n v="58"/>
    <n v="19"/>
    <n v="0"/>
    <n v="8"/>
    <n v="24"/>
    <m/>
  </r>
  <r>
    <s v="Ella Baila Sola"/>
    <s v="Eslabon Armado, Peso Pluma"/>
    <x v="0"/>
    <n v="2023"/>
    <n v="3"/>
    <n v="16"/>
    <n v="3090"/>
    <n v="50"/>
    <n v="725980112"/>
    <n v="34"/>
    <n v="222"/>
    <n v="43"/>
    <n v="13"/>
    <n v="418"/>
    <n v="148"/>
    <s v="F"/>
    <s v="Minor"/>
    <n v="67"/>
    <n v="83"/>
    <n v="76"/>
    <n v="48"/>
    <n v="0"/>
    <n v="8"/>
    <n v="3"/>
    <m/>
  </r>
  <r>
    <s v="Columbia"/>
    <s v="Quevedo"/>
    <x v="1"/>
    <n v="2023"/>
    <n v="7"/>
    <n v="7"/>
    <n v="714"/>
    <n v="43"/>
    <n v="58149378"/>
    <n v="25"/>
    <n v="89"/>
    <n v="30"/>
    <n v="13"/>
    <n v="194"/>
    <n v="100"/>
    <s v="F"/>
    <s v="Major"/>
    <n v="67"/>
    <n v="26"/>
    <n v="71"/>
    <n v="37"/>
    <n v="0"/>
    <n v="11"/>
    <n v="4"/>
    <m/>
  </r>
  <r>
    <s v="fukumean"/>
    <s v="Gunna"/>
    <x v="1"/>
    <n v="2023"/>
    <n v="5"/>
    <n v="15"/>
    <n v="1096"/>
    <n v="83"/>
    <n v="95217315"/>
    <n v="60"/>
    <n v="210"/>
    <n v="48"/>
    <n v="11"/>
    <n v="953"/>
    <n v="130"/>
    <s v="C#"/>
    <s v="Minor"/>
    <n v="85"/>
    <n v="22"/>
    <n v="62"/>
    <n v="12"/>
    <n v="0"/>
    <n v="28"/>
    <n v="9"/>
    <m/>
  </r>
  <r>
    <s v="La Bebe - Remix"/>
    <s v="Peso Pluma, Yng Lvcas"/>
    <x v="0"/>
    <n v="2023"/>
    <n v="3"/>
    <n v="17"/>
    <n v="2953"/>
    <n v="44"/>
    <n v="553634067"/>
    <n v="49"/>
    <n v="110"/>
    <n v="66"/>
    <n v="13"/>
    <n v="339"/>
    <n v="170"/>
    <s v="D"/>
    <s v="Minor"/>
    <n v="81"/>
    <n v="56"/>
    <n v="48"/>
    <n v="21"/>
    <n v="0"/>
    <n v="8"/>
    <n v="33"/>
    <m/>
  </r>
  <r>
    <s v="un x100to"/>
    <s v="Bad Bunny, Grupo Frontera"/>
    <x v="0"/>
    <n v="2023"/>
    <n v="4"/>
    <n v="17"/>
    <n v="2876"/>
    <n v="40"/>
    <n v="505671438"/>
    <n v="41"/>
    <n v="205"/>
    <n v="54"/>
    <n v="12"/>
    <n v="251"/>
    <n v="83"/>
    <s v="F#"/>
    <s v="Minor"/>
    <n v="57"/>
    <n v="56"/>
    <n v="72"/>
    <n v="23"/>
    <n v="0"/>
    <n v="27"/>
    <n v="5"/>
    <m/>
  </r>
  <r>
    <s v="Super Shy"/>
    <s v="NewJeans"/>
    <x v="1"/>
    <n v="2023"/>
    <n v="7"/>
    <n v="7"/>
    <n v="422"/>
    <n v="55"/>
    <n v="58255150"/>
    <n v="37"/>
    <n v="202"/>
    <n v="21"/>
    <n v="5"/>
    <n v="168"/>
    <n v="150"/>
    <s v="F"/>
    <s v="Minor"/>
    <n v="78"/>
    <n v="52"/>
    <n v="82"/>
    <n v="18"/>
    <n v="0"/>
    <n v="15"/>
    <n v="7"/>
    <m/>
  </r>
  <r>
    <s v="Flowers"/>
    <s v="Miley Cyrus"/>
    <x v="1"/>
    <n v="2023"/>
    <n v="1"/>
    <n v="12"/>
    <n v="12211"/>
    <n v="115"/>
    <n v="1316855716"/>
    <n v="300"/>
    <n v="215"/>
    <n v="745"/>
    <n v="58"/>
    <n v="1021"/>
    <n v="118"/>
    <m/>
    <s v="Major"/>
    <n v="71"/>
    <n v="65"/>
    <n v="68"/>
    <n v="6"/>
    <n v="0"/>
    <n v="3"/>
    <n v="7"/>
    <m/>
  </r>
  <r>
    <s v="Daylight"/>
    <s v="David Kushner"/>
    <x v="1"/>
    <n v="2023"/>
    <n v="4"/>
    <n v="14"/>
    <n v="3528"/>
    <n v="98"/>
    <n v="30742"/>
    <n v="80"/>
    <n v="156"/>
    <n v="182"/>
    <n v="24"/>
    <n v="1281"/>
    <n v="130"/>
    <s v="D"/>
    <s v="Minor"/>
    <n v="51"/>
    <n v="32"/>
    <n v="43"/>
    <n v="83"/>
    <n v="0"/>
    <n v="9"/>
    <n v="3"/>
    <m/>
  </r>
  <r>
    <s v="As It Was"/>
    <s v="Harry Styles"/>
    <x v="1"/>
    <n v="2022"/>
    <n v="3"/>
    <n v="31"/>
    <n v="23575"/>
    <n v="130"/>
    <n v="2513188493"/>
    <n v="403"/>
    <n v="198"/>
    <n v="863"/>
    <n v="46"/>
    <m/>
    <n v="174"/>
    <s v="F#"/>
    <s v="Minor"/>
    <n v="52"/>
    <n v="66"/>
    <n v="73"/>
    <n v="34"/>
    <n v="0"/>
    <n v="31"/>
    <n v="6"/>
    <m/>
  </r>
  <r>
    <s v="Kill Bill"/>
    <s v="SZA"/>
    <x v="1"/>
    <n v="2022"/>
    <n v="12"/>
    <n v="8"/>
    <n v="8109"/>
    <n v="77"/>
    <n v="1163093654"/>
    <n v="183"/>
    <n v="162"/>
    <n v="161"/>
    <n v="12"/>
    <n v="187"/>
    <n v="89"/>
    <s v="G#"/>
    <s v="Major"/>
    <n v="64"/>
    <n v="43"/>
    <n v="73"/>
    <n v="5"/>
    <n v="17"/>
    <n v="16"/>
    <n v="4"/>
    <m/>
  </r>
  <r>
    <s v="Cupid - Twin Ver."/>
    <s v="Fifty Fifty"/>
    <x v="1"/>
    <n v="2023"/>
    <n v="2"/>
    <n v="24"/>
    <n v="2942"/>
    <n v="77"/>
    <n v="496795686"/>
    <n v="91"/>
    <n v="212"/>
    <n v="78"/>
    <n v="6"/>
    <n v="0"/>
    <n v="120"/>
    <s v="B"/>
    <s v="Minor"/>
    <n v="78"/>
    <n v="76"/>
    <n v="59"/>
    <n v="43"/>
    <n v="0"/>
    <n v="34"/>
    <n v="3"/>
    <m/>
  </r>
  <r>
    <s v="What Was I Made For? "/>
    <s v="Billie Eilish"/>
    <x v="1"/>
    <n v="2023"/>
    <n v="7"/>
    <n v="13"/>
    <n v="873"/>
    <n v="104"/>
    <n v="30546883"/>
    <n v="80"/>
    <n v="227"/>
    <n v="95"/>
    <n v="24"/>
    <n v="1173"/>
    <n v="78"/>
    <m/>
    <s v="Major"/>
    <n v="44"/>
    <n v="14"/>
    <n v="9"/>
    <n v="96"/>
    <n v="0"/>
    <n v="10"/>
    <n v="3"/>
    <m/>
  </r>
  <r>
    <s v="Classy 101"/>
    <s v="Feid, Young Miko"/>
    <x v="0"/>
    <n v="2023"/>
    <n v="3"/>
    <n v="31"/>
    <n v="2610"/>
    <n v="40"/>
    <n v="335222234"/>
    <n v="43"/>
    <n v="100"/>
    <n v="54"/>
    <n v="14"/>
    <n v="187"/>
    <n v="100"/>
    <s v="B"/>
    <s v="Major"/>
    <n v="86"/>
    <n v="67"/>
    <n v="66"/>
    <n v="14"/>
    <n v="0"/>
    <n v="12"/>
    <n v="16"/>
    <m/>
  </r>
  <r>
    <s v="Like Crazy"/>
    <s v="Jimin"/>
    <x v="1"/>
    <n v="2023"/>
    <n v="3"/>
    <n v="24"/>
    <n v="596"/>
    <n v="68"/>
    <n v="363369738"/>
    <n v="8"/>
    <n v="104"/>
    <n v="23"/>
    <n v="2"/>
    <n v="29"/>
    <n v="120"/>
    <s v="G"/>
    <s v="Major"/>
    <n v="63"/>
    <n v="36"/>
    <n v="73"/>
    <n v="0"/>
    <n v="0"/>
    <n v="36"/>
    <n v="4"/>
    <m/>
  </r>
  <r>
    <s v="LADY GAGA"/>
    <s v="Gabito Ballesteros, Junior H, Peso Pluma"/>
    <x v="2"/>
    <n v="2023"/>
    <n v="6"/>
    <n v="22"/>
    <n v="332"/>
    <n v="26"/>
    <n v="86444842"/>
    <n v="11"/>
    <n v="163"/>
    <n v="10"/>
    <n v="4"/>
    <n v="0"/>
    <n v="140"/>
    <s v="F"/>
    <s v="Minor"/>
    <n v="65"/>
    <n v="87"/>
    <n v="74"/>
    <n v="22"/>
    <n v="0"/>
    <n v="42"/>
    <n v="4"/>
    <m/>
  </r>
  <r>
    <s v="I Can See You "/>
    <s v="Taylor Swift"/>
    <x v="1"/>
    <n v="2023"/>
    <n v="7"/>
    <n v="7"/>
    <n v="516"/>
    <n v="38"/>
    <n v="52135248"/>
    <n v="73"/>
    <n v="119"/>
    <n v="42"/>
    <n v="1"/>
    <n v="150"/>
    <n v="123"/>
    <s v="F#"/>
    <s v="Major"/>
    <n v="69"/>
    <n v="82"/>
    <n v="76"/>
    <n v="6"/>
    <n v="0"/>
    <n v="6"/>
    <n v="3"/>
    <m/>
  </r>
  <r>
    <s v="I Wanna Be Yours"/>
    <s v="Arctic Monkeys"/>
    <x v="1"/>
    <n v="2013"/>
    <n v="1"/>
    <n v="1"/>
    <n v="12859"/>
    <n v="110"/>
    <n v="1297026226"/>
    <n v="24"/>
    <n v="98"/>
    <n v="582"/>
    <n v="2"/>
    <n v="73"/>
    <n v="135"/>
    <m/>
    <s v="Minor"/>
    <n v="48"/>
    <n v="44"/>
    <n v="42"/>
    <n v="12"/>
    <n v="2"/>
    <n v="11"/>
    <n v="3"/>
    <m/>
  </r>
  <r>
    <s v="Peso Pluma: Bzrp Music Sessions, Vol. 55"/>
    <s v="Bizarrap, Peso Pluma"/>
    <x v="0"/>
    <n v="2023"/>
    <n v="5"/>
    <n v="31"/>
    <n v="1313"/>
    <n v="40"/>
    <n v="200647221"/>
    <n v="17"/>
    <n v="152"/>
    <n v="32"/>
    <n v="11"/>
    <n v="139"/>
    <n v="133"/>
    <s v="F"/>
    <s v="Minor"/>
    <n v="85"/>
    <n v="81"/>
    <n v="67"/>
    <n v="26"/>
    <n v="0"/>
    <n v="12"/>
    <n v="5"/>
    <m/>
  </r>
  <r>
    <s v="Popular (with Playboi Carti &amp; Madonna) "/>
    <s v="The Weeknd, Madonna, Playboi Carti"/>
    <x v="2"/>
    <n v="2023"/>
    <n v="6"/>
    <n v="2"/>
    <n v="1945"/>
    <n v="87"/>
    <n v="115364561"/>
    <n v="74"/>
    <n v="182"/>
    <n v="87"/>
    <n v="14"/>
    <n v="1093"/>
    <n v="99"/>
    <s v="C#"/>
    <s v="Major"/>
    <n v="85"/>
    <n v="83"/>
    <n v="68"/>
    <n v="7"/>
    <n v="0"/>
    <n v="36"/>
    <n v="20"/>
    <m/>
  </r>
  <r>
    <s v="SABOR FRESA"/>
    <s v="Fuerza Regida"/>
    <x v="1"/>
    <n v="2023"/>
    <n v="6"/>
    <n v="22"/>
    <n v="250"/>
    <n v="26"/>
    <n v="78300654"/>
    <n v="16"/>
    <n v="149"/>
    <n v="10"/>
    <n v="5"/>
    <n v="168"/>
    <n v="130"/>
    <s v="G"/>
    <s v="Minor"/>
    <n v="79"/>
    <n v="96"/>
    <n v="86"/>
    <n v="9"/>
    <n v="0"/>
    <n v="9"/>
    <n v="9"/>
    <m/>
  </r>
  <r>
    <s v="Calm Down (with Selena Gomez)"/>
    <s v="RÃ¯Â¿Â½Ã¯Â¿Â½ma, Selena G"/>
    <x v="0"/>
    <n v="2022"/>
    <n v="3"/>
    <n v="25"/>
    <n v="7112"/>
    <n v="77"/>
    <n v="899183384"/>
    <n v="202"/>
    <n v="119"/>
    <n v="318"/>
    <n v="38"/>
    <n v="96"/>
    <n v="107"/>
    <s v="B"/>
    <s v="Major"/>
    <n v="80"/>
    <n v="82"/>
    <n v="80"/>
    <n v="43"/>
    <n v="0"/>
    <n v="14"/>
    <n v="4"/>
    <m/>
  </r>
  <r>
    <s v="MOJABI GHOST"/>
    <s v="Tainy, Bad Bunny"/>
    <x v="0"/>
    <n v="2023"/>
    <n v="6"/>
    <n v="29"/>
    <n v="859"/>
    <n v="40"/>
    <n v="61245289"/>
    <n v="35"/>
    <n v="109"/>
    <n v="41"/>
    <n v="14"/>
    <n v="211"/>
    <n v="122"/>
    <s v="F#"/>
    <s v="Minor"/>
    <n v="81"/>
    <n v="74"/>
    <n v="71"/>
    <n v="14"/>
    <n v="0"/>
    <n v="56"/>
    <n v="4"/>
    <m/>
  </r>
  <r>
    <s v="Last Night"/>
    <s v="Morgan Wallen"/>
    <x v="1"/>
    <n v="2023"/>
    <n v="1"/>
    <n v="31"/>
    <n v="2420"/>
    <n v="19"/>
    <n v="429829812"/>
    <n v="52"/>
    <n v="107"/>
    <n v="15"/>
    <n v="1"/>
    <n v="325"/>
    <n v="204"/>
    <s v="F#"/>
    <s v="Major"/>
    <n v="52"/>
    <n v="52"/>
    <n v="68"/>
    <n v="46"/>
    <n v="0"/>
    <n v="15"/>
    <n v="4"/>
    <m/>
  </r>
  <r>
    <s v="Dance The Night (From Barbie The Album)"/>
    <s v="Dua Lipa"/>
    <x v="1"/>
    <n v="2023"/>
    <n v="5"/>
    <n v="25"/>
    <n v="2988"/>
    <n v="101"/>
    <n v="127408954"/>
    <n v="0"/>
    <n v="0"/>
    <n v="143"/>
    <n v="38"/>
    <n v="0"/>
    <n v="110"/>
    <s v="B"/>
    <s v="Minor"/>
    <n v="67"/>
    <n v="78"/>
    <n v="85"/>
    <n v="2"/>
    <n v="0"/>
    <n v="33"/>
    <n v="5"/>
    <m/>
  </r>
  <r>
    <s v="Rush"/>
    <s v="Troye Sivan"/>
    <x v="1"/>
    <n v="2023"/>
    <n v="7"/>
    <n v="13"/>
    <n v="864"/>
    <n v="78"/>
    <n v="22581161"/>
    <n v="71"/>
    <n v="135"/>
    <n v="50"/>
    <n v="1"/>
    <n v="294"/>
    <n v="126"/>
    <s v="F"/>
    <s v="Minor"/>
    <n v="74"/>
    <n v="35"/>
    <n v="84"/>
    <n v="0"/>
    <n v="0"/>
    <n v="11"/>
    <n v="6"/>
    <m/>
  </r>
  <r>
    <s v="TULUM"/>
    <s v="Peso Pluma, Grupo Frontera"/>
    <x v="0"/>
    <n v="2023"/>
    <n v="6"/>
    <n v="28"/>
    <n v="266"/>
    <n v="34"/>
    <n v="52294266"/>
    <n v="20"/>
    <n v="185"/>
    <n v="13"/>
    <n v="8"/>
    <n v="197"/>
    <n v="168"/>
    <s v="F#"/>
    <s v="Major"/>
    <n v="56"/>
    <n v="63"/>
    <n v="87"/>
    <n v="39"/>
    <n v="0"/>
    <n v="11"/>
    <n v="5"/>
    <m/>
  </r>
  <r>
    <s v="Creepin'"/>
    <s v="The Weeknd, 21 Savage, Metro Boomin"/>
    <x v="2"/>
    <n v="2022"/>
    <n v="12"/>
    <n v="2"/>
    <n v="6036"/>
    <n v="88"/>
    <n v="843957510"/>
    <n v="113"/>
    <n v="149"/>
    <n v="245"/>
    <n v="23"/>
    <n v="27"/>
    <n v="98"/>
    <s v="C#"/>
    <s v="Minor"/>
    <n v="71"/>
    <n v="17"/>
    <n v="61"/>
    <n v="36"/>
    <n v="0"/>
    <n v="8"/>
    <n v="5"/>
    <m/>
  </r>
  <r>
    <s v="Anti-Hero"/>
    <s v="Taylor Swift"/>
    <x v="1"/>
    <n v="2022"/>
    <n v="10"/>
    <n v="21"/>
    <n v="9082"/>
    <n v="56"/>
    <n v="999748277"/>
    <n v="242"/>
    <n v="142"/>
    <n v="165"/>
    <n v="9"/>
    <n v="310"/>
    <n v="97"/>
    <s v="E"/>
    <s v="Major"/>
    <n v="64"/>
    <n v="51"/>
    <n v="63"/>
    <n v="12"/>
    <n v="0"/>
    <n v="19"/>
    <n v="5"/>
    <m/>
  </r>
  <r>
    <s v="TQG"/>
    <s v="Karol G, Shakira"/>
    <x v="0"/>
    <n v="2023"/>
    <n v="2"/>
    <n v="23"/>
    <n v="4284"/>
    <n v="49"/>
    <n v="618990393"/>
    <n v="115"/>
    <n v="123"/>
    <n v="184"/>
    <n v="18"/>
    <n v="354"/>
    <n v="180"/>
    <s v="E"/>
    <s v="Minor"/>
    <n v="72"/>
    <n v="61"/>
    <n v="63"/>
    <n v="67"/>
    <n v="0"/>
    <n v="9"/>
    <n v="28"/>
    <m/>
  </r>
  <r>
    <s v="Los del Espacio"/>
    <s v="Big One, Duki, Lit Killah, Maria Becerra, FMK, Rusherking, Emilia, Tiago pzk"/>
    <x v="3"/>
    <n v="2023"/>
    <n v="6"/>
    <n v="1"/>
    <n v="1150"/>
    <n v="31"/>
    <n v="123122413"/>
    <n v="22"/>
    <n v="33"/>
    <n v="34"/>
    <n v="7"/>
    <n v="184"/>
    <n v="120"/>
    <m/>
    <s v="Major"/>
    <n v="81"/>
    <n v="63"/>
    <n v="68"/>
    <n v="11"/>
    <n v="0"/>
    <n v="11"/>
    <n v="4"/>
    <m/>
  </r>
  <r>
    <s v="FrÃ¯Â¿Â½Ã¯Â¿Â½gil (feat. Grupo Front"/>
    <s v="Yahritza Y Su Esencia, Grupo Frontera"/>
    <x v="0"/>
    <n v="2023"/>
    <n v="4"/>
    <n v="7"/>
    <n v="672"/>
    <n v="34"/>
    <n v="188933502"/>
    <n v="19"/>
    <n v="108"/>
    <n v="24"/>
    <n v="9"/>
    <n v="212"/>
    <n v="150"/>
    <s v="F#"/>
    <s v="Major"/>
    <n v="61"/>
    <n v="39"/>
    <n v="73"/>
    <n v="37"/>
    <n v="0"/>
    <n v="11"/>
    <n v="3"/>
    <m/>
  </r>
  <r>
    <s v="Blank Space"/>
    <s v="Taylor Swift"/>
    <x v="1"/>
    <n v="2014"/>
    <n v="1"/>
    <n v="1"/>
    <n v="11434"/>
    <n v="53"/>
    <n v="1355959075"/>
    <n v="154"/>
    <n v="123"/>
    <n v="410"/>
    <n v="2"/>
    <n v="81"/>
    <n v="96"/>
    <s v="F"/>
    <s v="Major"/>
    <n v="75"/>
    <n v="57"/>
    <n v="68"/>
    <n v="9"/>
    <n v="0"/>
    <n v="13"/>
    <n v="6"/>
    <m/>
  </r>
  <r>
    <s v="Style"/>
    <s v="Taylor Swift"/>
    <x v="1"/>
    <n v="2014"/>
    <n v="1"/>
    <n v="1"/>
    <n v="7830"/>
    <n v="42"/>
    <n v="786181836"/>
    <n v="94"/>
    <n v="111"/>
    <n v="151"/>
    <n v="4"/>
    <n v="82"/>
    <n v="95"/>
    <s v="D"/>
    <s v="Major"/>
    <n v="60"/>
    <n v="48"/>
    <n v="79"/>
    <n v="0"/>
    <n v="0"/>
    <n v="12"/>
    <n v="4"/>
    <m/>
  </r>
  <r>
    <s v="TQM"/>
    <s v="Fuerza Regida"/>
    <x v="1"/>
    <n v="2023"/>
    <n v="5"/>
    <n v="19"/>
    <n v="584"/>
    <n v="28"/>
    <n v="176553476"/>
    <n v="16"/>
    <n v="159"/>
    <n v="15"/>
    <n v="6"/>
    <n v="100"/>
    <n v="125"/>
    <s v="F"/>
    <s v="Minor"/>
    <n v="79"/>
    <n v="96"/>
    <n v="85"/>
    <n v="27"/>
    <n v="0"/>
    <n v="11"/>
    <n v="6"/>
    <m/>
  </r>
  <r>
    <s v="El Azul"/>
    <s v="Junior H, Peso Pluma"/>
    <x v="0"/>
    <n v="2023"/>
    <n v="2"/>
    <n v="10"/>
    <n v="692"/>
    <n v="25"/>
    <n v="354495408"/>
    <n v="10"/>
    <n v="107"/>
    <n v="6"/>
    <n v="3"/>
    <n v="62"/>
    <n v="144"/>
    <s v="A"/>
    <s v="Minor"/>
    <n v="56"/>
    <n v="84"/>
    <n v="65"/>
    <n v="23"/>
    <n v="0"/>
    <n v="10"/>
    <n v="6"/>
    <m/>
  </r>
  <r>
    <s v="Sunflower - Spider-Man: Into the Spider-Verse"/>
    <s v="Post Malone, Swae Lee"/>
    <x v="0"/>
    <n v="2018"/>
    <n v="10"/>
    <n v="9"/>
    <n v="24094"/>
    <n v="78"/>
    <n v="2808096550"/>
    <n v="372"/>
    <n v="117"/>
    <n v="843"/>
    <n v="4"/>
    <n v="69"/>
    <n v="90"/>
    <s v="D"/>
    <s v="Major"/>
    <n v="76"/>
    <n v="91"/>
    <n v="50"/>
    <n v="54"/>
    <n v="0"/>
    <n v="7"/>
    <n v="5"/>
    <m/>
  </r>
  <r>
    <s v="I'm Good (Blue)"/>
    <s v="Bebe Rexha, David Guetta"/>
    <x v="0"/>
    <n v="2022"/>
    <n v="8"/>
    <n v="26"/>
    <n v="12482"/>
    <n v="80"/>
    <n v="1109433169"/>
    <n v="291"/>
    <n v="184"/>
    <n v="537"/>
    <n v="45"/>
    <n v="727"/>
    <n v="128"/>
    <s v="G"/>
    <s v="Minor"/>
    <n v="56"/>
    <n v="38"/>
    <n v="97"/>
    <n v="4"/>
    <n v="0"/>
    <n v="35"/>
    <n v="4"/>
    <m/>
  </r>
  <r>
    <s v="See You Again"/>
    <s v="Tyler, The Creator, Kali Uchis"/>
    <x v="2"/>
    <n v="2017"/>
    <n v="7"/>
    <n v="21"/>
    <n v="13387"/>
    <n v="64"/>
    <n v="1047101291"/>
    <n v="77"/>
    <n v="58"/>
    <n v="247"/>
    <n v="1"/>
    <n v="311"/>
    <n v="79"/>
    <s v="F#"/>
    <s v="Major"/>
    <n v="56"/>
    <n v="58"/>
    <n v="56"/>
    <n v="37"/>
    <n v="0"/>
    <n v="11"/>
    <n v="10"/>
    <m/>
  </r>
  <r>
    <s v="Barbie World (with Aqua) "/>
    <s v="Nicki Minaj, Aqua, Ice Spice"/>
    <x v="2"/>
    <n v="2023"/>
    <n v="6"/>
    <n v="23"/>
    <n v="1117"/>
    <n v="80"/>
    <n v="65156199"/>
    <n v="82"/>
    <n v="145"/>
    <n v="65"/>
    <n v="16"/>
    <n v="1133"/>
    <n v="144"/>
    <m/>
    <s v="Major"/>
    <n v="77"/>
    <n v="75"/>
    <n v="58"/>
    <n v="52"/>
    <n v="0"/>
    <n v="23"/>
    <n v="25"/>
    <m/>
  </r>
  <r>
    <s v="Angels Like You"/>
    <s v="Miley Cyrus"/>
    <x v="1"/>
    <n v="2020"/>
    <n v="11"/>
    <n v="27"/>
    <n v="3372"/>
    <n v="19"/>
    <n v="570515054"/>
    <n v="65"/>
    <n v="48"/>
    <n v="138"/>
    <n v="1"/>
    <n v="102"/>
    <n v="122"/>
    <s v="F"/>
    <s v="Major"/>
    <n v="67"/>
    <n v="49"/>
    <n v="64"/>
    <n v="10"/>
    <n v="0"/>
    <n v="10"/>
    <n v="3"/>
    <m/>
  </r>
  <r>
    <s v="I Ain't Worried"/>
    <s v="OneRepublic"/>
    <x v="1"/>
    <n v="2022"/>
    <n v="5"/>
    <n v="13"/>
    <n v="8431"/>
    <n v="76"/>
    <n v="1085685420"/>
    <n v="241"/>
    <n v="127"/>
    <n v="458"/>
    <n v="37"/>
    <n v="332"/>
    <n v="140"/>
    <m/>
    <s v="Major"/>
    <n v="71"/>
    <n v="82"/>
    <n v="81"/>
    <n v="11"/>
    <n v="0"/>
    <n v="6"/>
    <n v="5"/>
    <m/>
  </r>
  <r>
    <s v="Die For You"/>
    <s v="The Weeknd"/>
    <x v="1"/>
    <n v="2016"/>
    <n v="11"/>
    <n v="24"/>
    <n v="2483"/>
    <n v="59"/>
    <n v="1647990401"/>
    <n v="68"/>
    <n v="21"/>
    <n v="24"/>
    <n v="0"/>
    <n v="259"/>
    <n v="134"/>
    <s v="C#"/>
    <s v="Minor"/>
    <n v="59"/>
    <n v="51"/>
    <n v="52"/>
    <n v="9"/>
    <n v="0"/>
    <n v="15"/>
    <n v="7"/>
    <m/>
  </r>
  <r>
    <s v="Starboy"/>
    <s v="The Weeknd, Daft Punk"/>
    <x v="0"/>
    <n v="2016"/>
    <n v="9"/>
    <n v="21"/>
    <n v="29536"/>
    <n v="79"/>
    <n v="2565529693"/>
    <n v="281"/>
    <n v="137"/>
    <n v="2445"/>
    <n v="1"/>
    <n v="140"/>
    <n v="186"/>
    <s v="G"/>
    <s v="Major"/>
    <n v="68"/>
    <n v="49"/>
    <n v="59"/>
    <n v="16"/>
    <n v="0"/>
    <n v="13"/>
    <n v="28"/>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2"/>
    <n v="2023"/>
    <n v="7"/>
    <n v="14"/>
    <x v="0"/>
    <n v="147"/>
    <n v="141381703"/>
    <n v="43"/>
    <n v="263"/>
    <x v="0"/>
    <n v="10"/>
    <x v="0"/>
    <n v="125"/>
    <s v="B"/>
    <s v="Major"/>
    <n v="80"/>
    <n v="89"/>
    <n v="83"/>
    <n v="31"/>
    <x v="0"/>
    <n v="8"/>
    <n v="4"/>
    <m/>
  </r>
  <r>
    <x v="1"/>
    <x v="1"/>
    <n v="1"/>
    <n v="2023"/>
    <n v="3"/>
    <n v="23"/>
    <x v="1"/>
    <n v="48"/>
    <n v="133716286"/>
    <n v="48"/>
    <n v="126"/>
    <x v="1"/>
    <n v="14"/>
    <x v="1"/>
    <n v="92"/>
    <s v="C#"/>
    <s v="Major"/>
    <n v="71"/>
    <n v="61"/>
    <n v="74"/>
    <n v="7"/>
    <x v="0"/>
    <n v="10"/>
    <n v="4"/>
    <m/>
  </r>
  <r>
    <x v="2"/>
    <x v="2"/>
    <n v="1"/>
    <n v="2023"/>
    <n v="6"/>
    <n v="30"/>
    <x v="2"/>
    <n v="113"/>
    <n v="140003974"/>
    <n v="94"/>
    <n v="207"/>
    <x v="2"/>
    <n v="14"/>
    <x v="2"/>
    <n v="138"/>
    <s v="F"/>
    <s v="Major"/>
    <n v="51"/>
    <n v="32"/>
    <n v="53"/>
    <n v="17"/>
    <x v="0"/>
    <n v="31"/>
    <n v="6"/>
    <m/>
  </r>
  <r>
    <x v="3"/>
    <x v="3"/>
    <n v="1"/>
    <n v="2019"/>
    <n v="8"/>
    <n v="23"/>
    <x v="3"/>
    <n v="100"/>
    <n v="800840817"/>
    <n v="116"/>
    <n v="207"/>
    <x v="3"/>
    <n v="12"/>
    <x v="3"/>
    <n v="170"/>
    <s v="A"/>
    <s v="Major"/>
    <n v="55"/>
    <n v="58"/>
    <n v="72"/>
    <n v="11"/>
    <x v="0"/>
    <n v="11"/>
    <n v="15"/>
    <m/>
  </r>
  <r>
    <x v="4"/>
    <x v="4"/>
    <n v="1"/>
    <n v="2023"/>
    <n v="5"/>
    <n v="18"/>
    <x v="4"/>
    <n v="50"/>
    <n v="303236322"/>
    <n v="84"/>
    <n v="133"/>
    <x v="4"/>
    <n v="15"/>
    <x v="4"/>
    <n v="144"/>
    <s v="A"/>
    <s v="Minor"/>
    <n v="65"/>
    <n v="23"/>
    <n v="80"/>
    <n v="14"/>
    <x v="1"/>
    <n v="11"/>
    <n v="6"/>
    <m/>
  </r>
  <r>
    <x v="5"/>
    <x v="5"/>
    <n v="2"/>
    <n v="2023"/>
    <n v="6"/>
    <n v="1"/>
    <x v="5"/>
    <n v="91"/>
    <n v="183706234"/>
    <n v="67"/>
    <n v="213"/>
    <x v="5"/>
    <n v="17"/>
    <x v="5"/>
    <n v="141"/>
    <s v="C#"/>
    <s v="Major"/>
    <n v="92"/>
    <n v="66"/>
    <n v="58"/>
    <n v="19"/>
    <x v="0"/>
    <n v="8"/>
    <n v="24"/>
    <m/>
  </r>
  <r>
    <x v="6"/>
    <x v="6"/>
    <n v="2"/>
    <n v="2023"/>
    <n v="3"/>
    <n v="16"/>
    <x v="6"/>
    <n v="50"/>
    <n v="725980112"/>
    <n v="34"/>
    <n v="222"/>
    <x v="6"/>
    <n v="13"/>
    <x v="6"/>
    <n v="148"/>
    <s v="F"/>
    <s v="Minor"/>
    <n v="67"/>
    <n v="83"/>
    <n v="76"/>
    <n v="48"/>
    <x v="0"/>
    <n v="8"/>
    <n v="3"/>
    <m/>
  </r>
  <r>
    <x v="7"/>
    <x v="7"/>
    <n v="1"/>
    <n v="2023"/>
    <n v="7"/>
    <n v="7"/>
    <x v="7"/>
    <n v="43"/>
    <n v="58149378"/>
    <n v="25"/>
    <n v="89"/>
    <x v="7"/>
    <n v="13"/>
    <x v="7"/>
    <n v="100"/>
    <s v="F"/>
    <s v="Major"/>
    <n v="67"/>
    <n v="26"/>
    <n v="71"/>
    <n v="37"/>
    <x v="0"/>
    <n v="11"/>
    <n v="4"/>
    <m/>
  </r>
  <r>
    <x v="8"/>
    <x v="8"/>
    <n v="1"/>
    <n v="2023"/>
    <n v="5"/>
    <n v="15"/>
    <x v="8"/>
    <n v="83"/>
    <n v="95217315"/>
    <n v="60"/>
    <n v="210"/>
    <x v="8"/>
    <n v="11"/>
    <x v="8"/>
    <n v="130"/>
    <s v="C#"/>
    <s v="Minor"/>
    <n v="85"/>
    <n v="22"/>
    <n v="62"/>
    <n v="12"/>
    <x v="0"/>
    <n v="28"/>
    <n v="9"/>
    <m/>
  </r>
  <r>
    <x v="9"/>
    <x v="9"/>
    <n v="2"/>
    <n v="2023"/>
    <n v="3"/>
    <n v="17"/>
    <x v="9"/>
    <n v="44"/>
    <n v="553634067"/>
    <n v="49"/>
    <n v="110"/>
    <x v="9"/>
    <n v="13"/>
    <x v="9"/>
    <n v="170"/>
    <s v="D"/>
    <s v="Minor"/>
    <n v="81"/>
    <n v="56"/>
    <n v="48"/>
    <n v="21"/>
    <x v="0"/>
    <n v="8"/>
    <n v="33"/>
    <m/>
  </r>
  <r>
    <x v="10"/>
    <x v="10"/>
    <n v="2"/>
    <n v="2023"/>
    <n v="4"/>
    <n v="17"/>
    <x v="10"/>
    <n v="40"/>
    <n v="505671438"/>
    <n v="41"/>
    <n v="205"/>
    <x v="10"/>
    <n v="12"/>
    <x v="10"/>
    <n v="83"/>
    <s v="F#"/>
    <s v="Minor"/>
    <n v="57"/>
    <n v="56"/>
    <n v="72"/>
    <n v="23"/>
    <x v="0"/>
    <n v="27"/>
    <n v="5"/>
    <m/>
  </r>
  <r>
    <x v="11"/>
    <x v="11"/>
    <n v="1"/>
    <n v="2023"/>
    <n v="7"/>
    <n v="7"/>
    <x v="11"/>
    <n v="55"/>
    <n v="58255150"/>
    <n v="37"/>
    <n v="202"/>
    <x v="11"/>
    <n v="5"/>
    <x v="11"/>
    <n v="150"/>
    <s v="F"/>
    <s v="Minor"/>
    <n v="78"/>
    <n v="52"/>
    <n v="82"/>
    <n v="18"/>
    <x v="0"/>
    <n v="15"/>
    <n v="7"/>
    <m/>
  </r>
  <r>
    <x v="12"/>
    <x v="12"/>
    <n v="1"/>
    <n v="2023"/>
    <n v="1"/>
    <n v="12"/>
    <x v="12"/>
    <n v="115"/>
    <n v="1316855716"/>
    <n v="300"/>
    <n v="215"/>
    <x v="12"/>
    <n v="58"/>
    <x v="12"/>
    <n v="118"/>
    <m/>
    <s v="Major"/>
    <n v="71"/>
    <n v="65"/>
    <n v="68"/>
    <n v="6"/>
    <x v="0"/>
    <n v="3"/>
    <n v="7"/>
    <m/>
  </r>
  <r>
    <x v="13"/>
    <x v="13"/>
    <n v="1"/>
    <n v="2023"/>
    <n v="4"/>
    <n v="14"/>
    <x v="13"/>
    <n v="98"/>
    <n v="30742"/>
    <n v="80"/>
    <n v="156"/>
    <x v="13"/>
    <n v="24"/>
    <x v="13"/>
    <n v="130"/>
    <s v="D"/>
    <s v="Minor"/>
    <n v="51"/>
    <n v="32"/>
    <n v="43"/>
    <n v="83"/>
    <x v="0"/>
    <n v="9"/>
    <n v="3"/>
    <m/>
  </r>
  <r>
    <x v="14"/>
    <x v="14"/>
    <n v="1"/>
    <n v="2022"/>
    <n v="3"/>
    <n v="31"/>
    <x v="14"/>
    <n v="130"/>
    <n v="2513188493"/>
    <n v="403"/>
    <n v="198"/>
    <x v="14"/>
    <n v="46"/>
    <x v="14"/>
    <n v="174"/>
    <s v="F#"/>
    <s v="Minor"/>
    <n v="52"/>
    <n v="66"/>
    <n v="73"/>
    <n v="34"/>
    <x v="0"/>
    <n v="31"/>
    <n v="6"/>
    <m/>
  </r>
  <r>
    <x v="15"/>
    <x v="15"/>
    <n v="1"/>
    <n v="2022"/>
    <n v="12"/>
    <n v="8"/>
    <x v="15"/>
    <n v="77"/>
    <n v="1163093654"/>
    <n v="183"/>
    <n v="162"/>
    <x v="15"/>
    <n v="12"/>
    <x v="15"/>
    <n v="89"/>
    <s v="G#"/>
    <s v="Major"/>
    <n v="64"/>
    <n v="43"/>
    <n v="73"/>
    <n v="5"/>
    <x v="2"/>
    <n v="16"/>
    <n v="4"/>
    <m/>
  </r>
  <r>
    <x v="16"/>
    <x v="16"/>
    <n v="1"/>
    <n v="2023"/>
    <n v="2"/>
    <n v="24"/>
    <x v="16"/>
    <n v="77"/>
    <n v="496795686"/>
    <n v="91"/>
    <n v="212"/>
    <x v="16"/>
    <n v="6"/>
    <x v="16"/>
    <n v="120"/>
    <s v="B"/>
    <s v="Minor"/>
    <n v="78"/>
    <n v="76"/>
    <n v="59"/>
    <n v="43"/>
    <x v="0"/>
    <n v="34"/>
    <n v="3"/>
    <m/>
  </r>
  <r>
    <x v="17"/>
    <x v="17"/>
    <n v="1"/>
    <n v="2023"/>
    <n v="7"/>
    <n v="13"/>
    <x v="17"/>
    <n v="104"/>
    <n v="30546883"/>
    <n v="80"/>
    <n v="227"/>
    <x v="17"/>
    <n v="24"/>
    <x v="17"/>
    <n v="78"/>
    <m/>
    <s v="Major"/>
    <n v="44"/>
    <n v="14"/>
    <n v="9"/>
    <n v="96"/>
    <x v="0"/>
    <n v="10"/>
    <n v="3"/>
    <m/>
  </r>
  <r>
    <x v="18"/>
    <x v="18"/>
    <n v="2"/>
    <n v="2023"/>
    <n v="3"/>
    <n v="31"/>
    <x v="18"/>
    <n v="40"/>
    <n v="335222234"/>
    <n v="43"/>
    <n v="100"/>
    <x v="10"/>
    <n v="14"/>
    <x v="15"/>
    <n v="100"/>
    <s v="B"/>
    <s v="Major"/>
    <n v="86"/>
    <n v="67"/>
    <n v="66"/>
    <n v="14"/>
    <x v="0"/>
    <n v="12"/>
    <n v="16"/>
    <m/>
  </r>
  <r>
    <x v="19"/>
    <x v="19"/>
    <n v="1"/>
    <n v="2023"/>
    <n v="3"/>
    <n v="24"/>
    <x v="19"/>
    <n v="68"/>
    <n v="363369738"/>
    <n v="8"/>
    <n v="104"/>
    <x v="18"/>
    <n v="2"/>
    <x v="18"/>
    <n v="120"/>
    <s v="G"/>
    <s v="Major"/>
    <n v="63"/>
    <n v="36"/>
    <n v="73"/>
    <n v="0"/>
    <x v="0"/>
    <n v="36"/>
    <n v="4"/>
    <m/>
  </r>
  <r>
    <x v="20"/>
    <x v="20"/>
    <n v="3"/>
    <n v="2023"/>
    <n v="6"/>
    <n v="22"/>
    <x v="20"/>
    <n v="26"/>
    <n v="86444842"/>
    <n v="11"/>
    <n v="163"/>
    <x v="19"/>
    <n v="4"/>
    <x v="16"/>
    <n v="140"/>
    <s v="F"/>
    <s v="Minor"/>
    <n v="65"/>
    <n v="87"/>
    <n v="74"/>
    <n v="22"/>
    <x v="0"/>
    <n v="42"/>
    <n v="4"/>
    <m/>
  </r>
  <r>
    <x v="21"/>
    <x v="3"/>
    <n v="1"/>
    <n v="2023"/>
    <n v="7"/>
    <n v="7"/>
    <x v="21"/>
    <n v="38"/>
    <n v="52135248"/>
    <n v="73"/>
    <n v="119"/>
    <x v="20"/>
    <n v="1"/>
    <x v="19"/>
    <n v="123"/>
    <s v="F#"/>
    <s v="Major"/>
    <n v="69"/>
    <n v="82"/>
    <n v="76"/>
    <n v="6"/>
    <x v="0"/>
    <n v="6"/>
    <n v="3"/>
    <m/>
  </r>
  <r>
    <x v="22"/>
    <x v="21"/>
    <n v="1"/>
    <n v="2013"/>
    <n v="1"/>
    <n v="1"/>
    <x v="22"/>
    <n v="110"/>
    <n v="1297026226"/>
    <n v="24"/>
    <n v="98"/>
    <x v="21"/>
    <n v="2"/>
    <x v="20"/>
    <n v="135"/>
    <m/>
    <s v="Minor"/>
    <n v="48"/>
    <n v="44"/>
    <n v="42"/>
    <n v="12"/>
    <x v="3"/>
    <n v="11"/>
    <n v="3"/>
    <m/>
  </r>
  <r>
    <x v="23"/>
    <x v="22"/>
    <n v="2"/>
    <n v="2023"/>
    <n v="5"/>
    <n v="31"/>
    <x v="23"/>
    <n v="40"/>
    <n v="200647221"/>
    <n v="17"/>
    <n v="152"/>
    <x v="22"/>
    <n v="11"/>
    <x v="21"/>
    <n v="133"/>
    <s v="F"/>
    <s v="Minor"/>
    <n v="85"/>
    <n v="81"/>
    <n v="67"/>
    <n v="26"/>
    <x v="0"/>
    <n v="12"/>
    <n v="5"/>
    <m/>
  </r>
  <r>
    <x v="24"/>
    <x v="23"/>
    <n v="3"/>
    <n v="2023"/>
    <n v="6"/>
    <n v="2"/>
    <x v="24"/>
    <n v="87"/>
    <n v="115364561"/>
    <n v="74"/>
    <n v="182"/>
    <x v="4"/>
    <n v="14"/>
    <x v="22"/>
    <n v="99"/>
    <s v="C#"/>
    <s v="Major"/>
    <n v="85"/>
    <n v="83"/>
    <n v="68"/>
    <n v="7"/>
    <x v="0"/>
    <n v="36"/>
    <n v="20"/>
    <m/>
  </r>
  <r>
    <x v="25"/>
    <x v="24"/>
    <n v="1"/>
    <n v="2023"/>
    <n v="6"/>
    <n v="22"/>
    <x v="25"/>
    <n v="26"/>
    <n v="78300654"/>
    <n v="16"/>
    <n v="149"/>
    <x v="19"/>
    <n v="5"/>
    <x v="11"/>
    <n v="130"/>
    <s v="G"/>
    <s v="Minor"/>
    <n v="79"/>
    <n v="96"/>
    <n v="86"/>
    <n v="9"/>
    <x v="0"/>
    <n v="9"/>
    <n v="9"/>
    <m/>
  </r>
  <r>
    <x v="26"/>
    <x v="25"/>
    <n v="2"/>
    <n v="2022"/>
    <n v="3"/>
    <n v="25"/>
    <x v="26"/>
    <n v="77"/>
    <n v="899183384"/>
    <n v="202"/>
    <n v="119"/>
    <x v="23"/>
    <n v="38"/>
    <x v="23"/>
    <n v="107"/>
    <s v="B"/>
    <s v="Major"/>
    <n v="80"/>
    <n v="82"/>
    <n v="80"/>
    <n v="43"/>
    <x v="0"/>
    <n v="14"/>
    <n v="4"/>
    <m/>
  </r>
  <r>
    <x v="27"/>
    <x v="26"/>
    <n v="2"/>
    <n v="2023"/>
    <n v="6"/>
    <n v="29"/>
    <x v="27"/>
    <n v="40"/>
    <n v="61245289"/>
    <n v="35"/>
    <n v="109"/>
    <x v="24"/>
    <n v="14"/>
    <x v="24"/>
    <n v="122"/>
    <s v="F#"/>
    <s v="Minor"/>
    <n v="81"/>
    <n v="74"/>
    <n v="71"/>
    <n v="14"/>
    <x v="0"/>
    <n v="56"/>
    <n v="4"/>
    <m/>
  </r>
  <r>
    <x v="28"/>
    <x v="27"/>
    <n v="1"/>
    <n v="2023"/>
    <n v="1"/>
    <n v="31"/>
    <x v="28"/>
    <n v="19"/>
    <n v="429829812"/>
    <n v="52"/>
    <n v="107"/>
    <x v="25"/>
    <n v="1"/>
    <x v="25"/>
    <n v="204"/>
    <s v="F#"/>
    <s v="Major"/>
    <n v="52"/>
    <n v="52"/>
    <n v="68"/>
    <n v="46"/>
    <x v="0"/>
    <n v="15"/>
    <n v="4"/>
    <m/>
  </r>
  <r>
    <x v="29"/>
    <x v="28"/>
    <n v="1"/>
    <n v="2023"/>
    <n v="5"/>
    <n v="25"/>
    <x v="29"/>
    <n v="101"/>
    <n v="127408954"/>
    <n v="0"/>
    <n v="0"/>
    <x v="26"/>
    <n v="38"/>
    <x v="16"/>
    <n v="110"/>
    <s v="B"/>
    <s v="Minor"/>
    <n v="67"/>
    <n v="78"/>
    <n v="85"/>
    <n v="2"/>
    <x v="0"/>
    <n v="33"/>
    <n v="5"/>
    <m/>
  </r>
  <r>
    <x v="30"/>
    <x v="29"/>
    <n v="1"/>
    <n v="2023"/>
    <n v="7"/>
    <n v="13"/>
    <x v="30"/>
    <n v="78"/>
    <n v="22581161"/>
    <n v="71"/>
    <n v="135"/>
    <x v="27"/>
    <n v="1"/>
    <x v="26"/>
    <n v="126"/>
    <s v="F"/>
    <s v="Minor"/>
    <n v="74"/>
    <n v="35"/>
    <n v="84"/>
    <n v="0"/>
    <x v="0"/>
    <n v="11"/>
    <n v="6"/>
    <m/>
  </r>
  <r>
    <x v="31"/>
    <x v="30"/>
    <n v="2"/>
    <n v="2023"/>
    <n v="6"/>
    <n v="28"/>
    <x v="31"/>
    <n v="34"/>
    <n v="52294266"/>
    <n v="20"/>
    <n v="185"/>
    <x v="28"/>
    <n v="8"/>
    <x v="27"/>
    <n v="168"/>
    <s v="F#"/>
    <s v="Major"/>
    <n v="56"/>
    <n v="63"/>
    <n v="87"/>
    <n v="39"/>
    <x v="0"/>
    <n v="11"/>
    <n v="5"/>
    <m/>
  </r>
  <r>
    <x v="32"/>
    <x v="31"/>
    <n v="3"/>
    <n v="2022"/>
    <n v="12"/>
    <n v="2"/>
    <x v="32"/>
    <n v="88"/>
    <n v="843957510"/>
    <n v="113"/>
    <n v="149"/>
    <x v="29"/>
    <n v="23"/>
    <x v="28"/>
    <n v="98"/>
    <s v="C#"/>
    <s v="Minor"/>
    <n v="71"/>
    <n v="17"/>
    <n v="61"/>
    <n v="36"/>
    <x v="0"/>
    <n v="8"/>
    <n v="5"/>
    <m/>
  </r>
  <r>
    <x v="33"/>
    <x v="3"/>
    <n v="1"/>
    <n v="2022"/>
    <n v="10"/>
    <n v="21"/>
    <x v="33"/>
    <n v="56"/>
    <n v="999748277"/>
    <n v="242"/>
    <n v="142"/>
    <x v="30"/>
    <n v="9"/>
    <x v="29"/>
    <n v="97"/>
    <s v="E"/>
    <s v="Major"/>
    <n v="64"/>
    <n v="51"/>
    <n v="63"/>
    <n v="12"/>
    <x v="0"/>
    <n v="19"/>
    <n v="5"/>
    <m/>
  </r>
  <r>
    <x v="34"/>
    <x v="32"/>
    <n v="2"/>
    <n v="2023"/>
    <n v="2"/>
    <n v="23"/>
    <x v="34"/>
    <n v="49"/>
    <n v="618990393"/>
    <n v="115"/>
    <n v="123"/>
    <x v="31"/>
    <n v="18"/>
    <x v="30"/>
    <n v="180"/>
    <s v="E"/>
    <s v="Minor"/>
    <n v="72"/>
    <n v="61"/>
    <n v="63"/>
    <n v="67"/>
    <x v="0"/>
    <n v="9"/>
    <n v="28"/>
    <m/>
  </r>
  <r>
    <x v="35"/>
    <x v="33"/>
    <n v="8"/>
    <n v="2023"/>
    <n v="6"/>
    <n v="1"/>
    <x v="35"/>
    <n v="31"/>
    <n v="123122413"/>
    <n v="22"/>
    <n v="33"/>
    <x v="32"/>
    <n v="7"/>
    <x v="31"/>
    <n v="120"/>
    <m/>
    <s v="Major"/>
    <n v="81"/>
    <n v="63"/>
    <n v="68"/>
    <n v="11"/>
    <x v="0"/>
    <n v="11"/>
    <n v="4"/>
    <m/>
  </r>
  <r>
    <x v="36"/>
    <x v="34"/>
    <n v="2"/>
    <n v="2023"/>
    <n v="4"/>
    <n v="7"/>
    <x v="36"/>
    <n v="34"/>
    <n v="188933502"/>
    <n v="19"/>
    <n v="108"/>
    <x v="33"/>
    <n v="9"/>
    <x v="32"/>
    <n v="150"/>
    <s v="F#"/>
    <s v="Major"/>
    <n v="61"/>
    <n v="39"/>
    <n v="73"/>
    <n v="37"/>
    <x v="0"/>
    <n v="11"/>
    <n v="3"/>
    <m/>
  </r>
  <r>
    <x v="37"/>
    <x v="3"/>
    <n v="1"/>
    <n v="2014"/>
    <n v="1"/>
    <n v="1"/>
    <x v="37"/>
    <n v="53"/>
    <n v="1355959075"/>
    <n v="154"/>
    <n v="123"/>
    <x v="34"/>
    <n v="2"/>
    <x v="33"/>
    <n v="96"/>
    <s v="F"/>
    <s v="Major"/>
    <n v="75"/>
    <n v="57"/>
    <n v="68"/>
    <n v="9"/>
    <x v="0"/>
    <n v="13"/>
    <n v="6"/>
    <m/>
  </r>
  <r>
    <x v="38"/>
    <x v="3"/>
    <n v="1"/>
    <n v="2014"/>
    <n v="1"/>
    <n v="1"/>
    <x v="38"/>
    <n v="42"/>
    <n v="786181836"/>
    <n v="94"/>
    <n v="111"/>
    <x v="35"/>
    <n v="4"/>
    <x v="34"/>
    <n v="95"/>
    <s v="D"/>
    <s v="Major"/>
    <n v="60"/>
    <n v="48"/>
    <n v="79"/>
    <n v="0"/>
    <x v="0"/>
    <n v="12"/>
    <n v="4"/>
    <m/>
  </r>
  <r>
    <x v="39"/>
    <x v="24"/>
    <n v="1"/>
    <n v="2023"/>
    <n v="5"/>
    <n v="19"/>
    <x v="39"/>
    <n v="28"/>
    <n v="176553476"/>
    <n v="16"/>
    <n v="159"/>
    <x v="25"/>
    <n v="6"/>
    <x v="35"/>
    <n v="125"/>
    <s v="F"/>
    <s v="Minor"/>
    <n v="79"/>
    <n v="96"/>
    <n v="85"/>
    <n v="27"/>
    <x v="0"/>
    <n v="11"/>
    <n v="6"/>
    <m/>
  </r>
  <r>
    <x v="40"/>
    <x v="35"/>
    <n v="2"/>
    <n v="2023"/>
    <n v="2"/>
    <n v="10"/>
    <x v="40"/>
    <n v="25"/>
    <n v="354495408"/>
    <n v="10"/>
    <n v="107"/>
    <x v="36"/>
    <n v="3"/>
    <x v="36"/>
    <n v="144"/>
    <s v="A"/>
    <s v="Minor"/>
    <n v="56"/>
    <n v="84"/>
    <n v="65"/>
    <n v="23"/>
    <x v="0"/>
    <n v="10"/>
    <n v="6"/>
    <m/>
  </r>
  <r>
    <x v="41"/>
    <x v="36"/>
    <n v="2"/>
    <n v="2018"/>
    <n v="10"/>
    <n v="9"/>
    <x v="41"/>
    <n v="78"/>
    <n v="2808096550"/>
    <n v="372"/>
    <n v="117"/>
    <x v="37"/>
    <n v="4"/>
    <x v="37"/>
    <n v="90"/>
    <s v="D"/>
    <s v="Major"/>
    <n v="76"/>
    <n v="91"/>
    <n v="50"/>
    <n v="54"/>
    <x v="0"/>
    <n v="7"/>
    <n v="5"/>
    <m/>
  </r>
  <r>
    <x v="42"/>
    <x v="37"/>
    <n v="2"/>
    <n v="2022"/>
    <n v="8"/>
    <n v="26"/>
    <x v="42"/>
    <n v="80"/>
    <n v="1109433169"/>
    <n v="291"/>
    <n v="184"/>
    <x v="38"/>
    <n v="45"/>
    <x v="38"/>
    <n v="128"/>
    <s v="G"/>
    <s v="Minor"/>
    <n v="56"/>
    <n v="38"/>
    <n v="97"/>
    <n v="4"/>
    <x v="0"/>
    <n v="35"/>
    <n v="4"/>
    <m/>
  </r>
  <r>
    <x v="43"/>
    <x v="38"/>
    <n v="3"/>
    <n v="2017"/>
    <n v="7"/>
    <n v="21"/>
    <x v="43"/>
    <n v="64"/>
    <n v="1047101291"/>
    <n v="77"/>
    <n v="58"/>
    <x v="39"/>
    <n v="1"/>
    <x v="39"/>
    <n v="79"/>
    <s v="F#"/>
    <s v="Major"/>
    <n v="56"/>
    <n v="58"/>
    <n v="56"/>
    <n v="37"/>
    <x v="0"/>
    <n v="11"/>
    <n v="10"/>
    <m/>
  </r>
  <r>
    <x v="44"/>
    <x v="39"/>
    <n v="3"/>
    <n v="2023"/>
    <n v="6"/>
    <n v="23"/>
    <x v="44"/>
    <n v="80"/>
    <n v="65156199"/>
    <n v="82"/>
    <n v="145"/>
    <x v="40"/>
    <n v="16"/>
    <x v="40"/>
    <n v="144"/>
    <m/>
    <s v="Major"/>
    <n v="77"/>
    <n v="75"/>
    <n v="58"/>
    <n v="52"/>
    <x v="0"/>
    <n v="23"/>
    <n v="25"/>
    <m/>
  </r>
  <r>
    <x v="45"/>
    <x v="12"/>
    <n v="1"/>
    <n v="2020"/>
    <n v="11"/>
    <n v="27"/>
    <x v="45"/>
    <n v="19"/>
    <n v="570515054"/>
    <n v="65"/>
    <n v="48"/>
    <x v="41"/>
    <n v="1"/>
    <x v="41"/>
    <n v="122"/>
    <s v="F"/>
    <s v="Major"/>
    <n v="67"/>
    <n v="49"/>
    <n v="64"/>
    <n v="10"/>
    <x v="0"/>
    <n v="10"/>
    <n v="3"/>
    <m/>
  </r>
  <r>
    <x v="46"/>
    <x v="40"/>
    <n v="1"/>
    <n v="2022"/>
    <n v="5"/>
    <n v="13"/>
    <x v="46"/>
    <n v="76"/>
    <n v="1085685420"/>
    <n v="241"/>
    <n v="127"/>
    <x v="42"/>
    <n v="37"/>
    <x v="42"/>
    <n v="140"/>
    <m/>
    <s v="Major"/>
    <n v="71"/>
    <n v="82"/>
    <n v="81"/>
    <n v="11"/>
    <x v="0"/>
    <n v="6"/>
    <n v="5"/>
    <m/>
  </r>
  <r>
    <x v="47"/>
    <x v="41"/>
    <n v="1"/>
    <n v="2016"/>
    <n v="11"/>
    <n v="24"/>
    <x v="47"/>
    <n v="59"/>
    <n v="1647990401"/>
    <n v="68"/>
    <n v="21"/>
    <x v="33"/>
    <n v="0"/>
    <x v="43"/>
    <n v="134"/>
    <s v="C#"/>
    <s v="Minor"/>
    <n v="59"/>
    <n v="51"/>
    <n v="52"/>
    <n v="9"/>
    <x v="0"/>
    <n v="15"/>
    <n v="7"/>
    <m/>
  </r>
  <r>
    <x v="48"/>
    <x v="42"/>
    <n v="2"/>
    <n v="2016"/>
    <n v="9"/>
    <n v="21"/>
    <x v="48"/>
    <n v="79"/>
    <n v="2565529693"/>
    <n v="281"/>
    <n v="137"/>
    <x v="43"/>
    <n v="1"/>
    <x v="44"/>
    <n v="186"/>
    <s v="G"/>
    <s v="Major"/>
    <n v="68"/>
    <n v="49"/>
    <n v="59"/>
    <n v="16"/>
    <x v="0"/>
    <n v="13"/>
    <n v="28"/>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Seven (feat. Latto) (Explicit Ver.)"/>
    <s v="Latto, Jung Kook"/>
    <n v="2"/>
    <n v="2023"/>
    <n v="7"/>
    <n v="14"/>
    <n v="553"/>
    <n v="147"/>
    <n v="141381703"/>
    <n v="43"/>
    <x v="0"/>
    <n v="45"/>
    <n v="10"/>
    <n v="826"/>
    <n v="125"/>
    <s v="B"/>
    <s v="Major"/>
    <n v="80"/>
    <n v="89"/>
    <n v="83"/>
    <n v="31"/>
    <x v="0"/>
    <n v="8"/>
    <n v="4"/>
    <m/>
  </r>
  <r>
    <s v="LALA"/>
    <s v="Myke Towers"/>
    <n v="1"/>
    <n v="2023"/>
    <n v="3"/>
    <n v="23"/>
    <n v="1474"/>
    <n v="48"/>
    <n v="133716286"/>
    <n v="48"/>
    <x v="1"/>
    <n v="58"/>
    <n v="14"/>
    <n v="382"/>
    <n v="92"/>
    <s v="C#"/>
    <s v="Major"/>
    <n v="71"/>
    <n v="61"/>
    <n v="74"/>
    <n v="7"/>
    <x v="0"/>
    <n v="10"/>
    <n v="4"/>
    <m/>
  </r>
  <r>
    <s v="vampire"/>
    <s v="Olivia Rodrigo"/>
    <n v="1"/>
    <n v="2023"/>
    <n v="6"/>
    <n v="30"/>
    <n v="1397"/>
    <n v="113"/>
    <n v="140003974"/>
    <n v="94"/>
    <x v="2"/>
    <n v="91"/>
    <n v="14"/>
    <n v="949"/>
    <n v="138"/>
    <s v="F"/>
    <s v="Major"/>
    <n v="51"/>
    <n v="32"/>
    <n v="53"/>
    <n v="17"/>
    <x v="0"/>
    <n v="31"/>
    <n v="6"/>
    <m/>
  </r>
  <r>
    <s v="Cruel Summer"/>
    <s v="Taylor Swift"/>
    <n v="1"/>
    <n v="2019"/>
    <n v="8"/>
    <n v="23"/>
    <n v="7858"/>
    <n v="100"/>
    <n v="800840817"/>
    <n v="116"/>
    <x v="2"/>
    <n v="125"/>
    <n v="12"/>
    <n v="548"/>
    <n v="170"/>
    <s v="A"/>
    <s v="Major"/>
    <n v="55"/>
    <n v="58"/>
    <n v="72"/>
    <n v="11"/>
    <x v="0"/>
    <n v="11"/>
    <n v="15"/>
    <m/>
  </r>
  <r>
    <s v="WHERE SHE GOES"/>
    <s v="Bad Bunny"/>
    <n v="1"/>
    <n v="2023"/>
    <n v="5"/>
    <n v="18"/>
    <n v="3133"/>
    <n v="50"/>
    <n v="303236322"/>
    <n v="84"/>
    <x v="3"/>
    <n v="87"/>
    <n v="15"/>
    <n v="425"/>
    <n v="144"/>
    <s v="A"/>
    <s v="Minor"/>
    <n v="65"/>
    <n v="23"/>
    <n v="80"/>
    <n v="14"/>
    <x v="1"/>
    <n v="11"/>
    <n v="6"/>
    <m/>
  </r>
  <r>
    <s v="Sprinter"/>
    <s v="Dave, Central Cee"/>
    <n v="2"/>
    <n v="2023"/>
    <n v="6"/>
    <n v="1"/>
    <n v="2186"/>
    <n v="91"/>
    <n v="183706234"/>
    <n v="67"/>
    <x v="4"/>
    <n v="88"/>
    <n v="17"/>
    <n v="946"/>
    <n v="141"/>
    <s v="C#"/>
    <s v="Major"/>
    <n v="92"/>
    <n v="66"/>
    <n v="58"/>
    <n v="19"/>
    <x v="0"/>
    <n v="8"/>
    <n v="24"/>
    <m/>
  </r>
  <r>
    <s v="Ella Baila Sola"/>
    <s v="Eslabon Armado, Peso Pluma"/>
    <n v="2"/>
    <n v="2023"/>
    <n v="3"/>
    <n v="16"/>
    <n v="3090"/>
    <n v="50"/>
    <n v="725980112"/>
    <n v="34"/>
    <x v="5"/>
    <n v="43"/>
    <n v="13"/>
    <n v="418"/>
    <n v="148"/>
    <s v="F"/>
    <s v="Minor"/>
    <n v="67"/>
    <n v="83"/>
    <n v="76"/>
    <n v="48"/>
    <x v="0"/>
    <n v="8"/>
    <n v="3"/>
    <m/>
  </r>
  <r>
    <s v="Columbia"/>
    <s v="Quevedo"/>
    <n v="1"/>
    <n v="2023"/>
    <n v="7"/>
    <n v="7"/>
    <n v="714"/>
    <n v="43"/>
    <n v="58149378"/>
    <n v="25"/>
    <x v="6"/>
    <n v="30"/>
    <n v="13"/>
    <n v="194"/>
    <n v="100"/>
    <s v="F"/>
    <s v="Major"/>
    <n v="67"/>
    <n v="26"/>
    <n v="71"/>
    <n v="37"/>
    <x v="0"/>
    <n v="11"/>
    <n v="4"/>
    <m/>
  </r>
  <r>
    <s v="fukumean"/>
    <s v="Gunna"/>
    <n v="1"/>
    <n v="2023"/>
    <n v="5"/>
    <n v="15"/>
    <n v="1096"/>
    <n v="83"/>
    <n v="95217315"/>
    <n v="60"/>
    <x v="7"/>
    <n v="48"/>
    <n v="11"/>
    <n v="953"/>
    <n v="130"/>
    <s v="C#"/>
    <s v="Minor"/>
    <n v="85"/>
    <n v="22"/>
    <n v="62"/>
    <n v="12"/>
    <x v="0"/>
    <n v="28"/>
    <n v="9"/>
    <m/>
  </r>
  <r>
    <s v="La Bebe - Remix"/>
    <s v="Peso Pluma, Yng Lvcas"/>
    <n v="2"/>
    <n v="2023"/>
    <n v="3"/>
    <n v="17"/>
    <n v="2953"/>
    <n v="44"/>
    <n v="553634067"/>
    <n v="49"/>
    <x v="8"/>
    <n v="66"/>
    <n v="13"/>
    <n v="339"/>
    <n v="170"/>
    <s v="D"/>
    <s v="Minor"/>
    <n v="81"/>
    <n v="56"/>
    <n v="48"/>
    <n v="21"/>
    <x v="0"/>
    <n v="8"/>
    <n v="33"/>
    <m/>
  </r>
  <r>
    <s v="un x100to"/>
    <s v="Bad Bunny, Grupo Frontera"/>
    <n v="2"/>
    <n v="2023"/>
    <n v="4"/>
    <n v="17"/>
    <n v="2876"/>
    <n v="40"/>
    <n v="505671438"/>
    <n v="41"/>
    <x v="9"/>
    <n v="54"/>
    <n v="12"/>
    <n v="251"/>
    <n v="83"/>
    <s v="F#"/>
    <s v="Minor"/>
    <n v="57"/>
    <n v="56"/>
    <n v="72"/>
    <n v="23"/>
    <x v="0"/>
    <n v="27"/>
    <n v="5"/>
    <m/>
  </r>
  <r>
    <s v="Super Shy"/>
    <s v="NewJeans"/>
    <n v="1"/>
    <n v="2023"/>
    <n v="7"/>
    <n v="7"/>
    <n v="422"/>
    <n v="55"/>
    <n v="58255150"/>
    <n v="37"/>
    <x v="10"/>
    <n v="21"/>
    <n v="5"/>
    <n v="168"/>
    <n v="150"/>
    <s v="F"/>
    <s v="Minor"/>
    <n v="78"/>
    <n v="52"/>
    <n v="82"/>
    <n v="18"/>
    <x v="0"/>
    <n v="15"/>
    <n v="7"/>
    <m/>
  </r>
  <r>
    <s v="Flowers"/>
    <s v="Miley Cyrus"/>
    <n v="1"/>
    <n v="2023"/>
    <n v="1"/>
    <n v="12"/>
    <n v="12211"/>
    <n v="115"/>
    <n v="1316855716"/>
    <n v="300"/>
    <x v="11"/>
    <n v="745"/>
    <n v="58"/>
    <n v="1021"/>
    <n v="118"/>
    <m/>
    <s v="Major"/>
    <n v="71"/>
    <n v="65"/>
    <n v="68"/>
    <n v="6"/>
    <x v="0"/>
    <n v="3"/>
    <n v="7"/>
    <m/>
  </r>
  <r>
    <s v="Daylight"/>
    <s v="David Kushner"/>
    <n v="1"/>
    <n v="2023"/>
    <n v="4"/>
    <n v="14"/>
    <n v="3528"/>
    <n v="98"/>
    <n v="30742"/>
    <n v="80"/>
    <x v="12"/>
    <n v="182"/>
    <n v="24"/>
    <n v="1281"/>
    <n v="130"/>
    <s v="D"/>
    <s v="Minor"/>
    <n v="51"/>
    <n v="32"/>
    <n v="43"/>
    <n v="83"/>
    <x v="0"/>
    <n v="9"/>
    <n v="3"/>
    <m/>
  </r>
  <r>
    <s v="As It Was"/>
    <s v="Harry Styles"/>
    <n v="1"/>
    <n v="2022"/>
    <n v="3"/>
    <n v="31"/>
    <n v="23575"/>
    <n v="130"/>
    <n v="2513188493"/>
    <n v="403"/>
    <x v="13"/>
    <n v="863"/>
    <n v="46"/>
    <m/>
    <n v="174"/>
    <s v="F#"/>
    <s v="Minor"/>
    <n v="52"/>
    <n v="66"/>
    <n v="73"/>
    <n v="34"/>
    <x v="0"/>
    <n v="31"/>
    <n v="6"/>
    <m/>
  </r>
  <r>
    <s v="Kill Bill"/>
    <s v="SZA"/>
    <n v="1"/>
    <n v="2022"/>
    <n v="12"/>
    <n v="8"/>
    <n v="8109"/>
    <n v="77"/>
    <n v="1163093654"/>
    <n v="183"/>
    <x v="14"/>
    <n v="161"/>
    <n v="12"/>
    <n v="187"/>
    <n v="89"/>
    <s v="G#"/>
    <s v="Major"/>
    <n v="64"/>
    <n v="43"/>
    <n v="73"/>
    <n v="5"/>
    <x v="2"/>
    <n v="16"/>
    <n v="4"/>
    <m/>
  </r>
  <r>
    <s v="Cupid - Twin Ver."/>
    <s v="Fifty Fifty"/>
    <n v="1"/>
    <n v="2023"/>
    <n v="2"/>
    <n v="24"/>
    <n v="2942"/>
    <n v="77"/>
    <n v="496795686"/>
    <n v="91"/>
    <x v="15"/>
    <n v="78"/>
    <n v="6"/>
    <n v="0"/>
    <n v="120"/>
    <s v="B"/>
    <s v="Minor"/>
    <n v="78"/>
    <n v="76"/>
    <n v="59"/>
    <n v="43"/>
    <x v="0"/>
    <n v="34"/>
    <n v="3"/>
    <m/>
  </r>
  <r>
    <s v="What Was I Made For? "/>
    <s v="Billie Eilish"/>
    <n v="1"/>
    <n v="2023"/>
    <n v="7"/>
    <n v="13"/>
    <n v="873"/>
    <n v="104"/>
    <n v="30546883"/>
    <n v="80"/>
    <x v="16"/>
    <n v="95"/>
    <n v="24"/>
    <n v="1173"/>
    <n v="78"/>
    <m/>
    <s v="Major"/>
    <n v="44"/>
    <n v="14"/>
    <n v="9"/>
    <n v="96"/>
    <x v="0"/>
    <n v="10"/>
    <n v="3"/>
    <m/>
  </r>
  <r>
    <s v="Classy 101"/>
    <s v="Feid, Young Miko"/>
    <n v="2"/>
    <n v="2023"/>
    <n v="3"/>
    <n v="31"/>
    <n v="2610"/>
    <n v="40"/>
    <n v="335222234"/>
    <n v="43"/>
    <x v="17"/>
    <n v="54"/>
    <n v="14"/>
    <n v="187"/>
    <n v="100"/>
    <s v="B"/>
    <s v="Major"/>
    <n v="86"/>
    <n v="67"/>
    <n v="66"/>
    <n v="14"/>
    <x v="0"/>
    <n v="12"/>
    <n v="16"/>
    <m/>
  </r>
  <r>
    <s v="Like Crazy"/>
    <s v="Jimin"/>
    <n v="1"/>
    <n v="2023"/>
    <n v="3"/>
    <n v="24"/>
    <n v="596"/>
    <n v="68"/>
    <n v="363369738"/>
    <n v="8"/>
    <x v="18"/>
    <n v="23"/>
    <n v="2"/>
    <n v="29"/>
    <n v="120"/>
    <s v="G"/>
    <s v="Major"/>
    <n v="63"/>
    <n v="36"/>
    <n v="73"/>
    <n v="0"/>
    <x v="0"/>
    <n v="36"/>
    <n v="4"/>
    <m/>
  </r>
  <r>
    <s v="LADY GAGA"/>
    <s v="Gabito Ballesteros, Junior H, Peso Pluma"/>
    <n v="3"/>
    <n v="2023"/>
    <n v="6"/>
    <n v="22"/>
    <n v="332"/>
    <n v="26"/>
    <n v="86444842"/>
    <n v="11"/>
    <x v="19"/>
    <n v="10"/>
    <n v="4"/>
    <n v="0"/>
    <n v="140"/>
    <s v="F"/>
    <s v="Minor"/>
    <n v="65"/>
    <n v="87"/>
    <n v="74"/>
    <n v="22"/>
    <x v="0"/>
    <n v="42"/>
    <n v="4"/>
    <m/>
  </r>
  <r>
    <s v="I Can See You "/>
    <s v="Taylor Swift"/>
    <n v="1"/>
    <n v="2023"/>
    <n v="7"/>
    <n v="7"/>
    <n v="516"/>
    <n v="38"/>
    <n v="52135248"/>
    <n v="73"/>
    <x v="20"/>
    <n v="42"/>
    <n v="1"/>
    <n v="150"/>
    <n v="123"/>
    <s v="F#"/>
    <s v="Major"/>
    <n v="69"/>
    <n v="82"/>
    <n v="76"/>
    <n v="6"/>
    <x v="0"/>
    <n v="6"/>
    <n v="3"/>
    <m/>
  </r>
  <r>
    <s v="I Wanna Be Yours"/>
    <s v="Arctic Monkeys"/>
    <n v="1"/>
    <n v="2013"/>
    <n v="1"/>
    <n v="1"/>
    <n v="12859"/>
    <n v="110"/>
    <n v="1297026226"/>
    <n v="24"/>
    <x v="21"/>
    <n v="582"/>
    <n v="2"/>
    <n v="73"/>
    <n v="135"/>
    <m/>
    <s v="Minor"/>
    <n v="48"/>
    <n v="44"/>
    <n v="42"/>
    <n v="12"/>
    <x v="3"/>
    <n v="11"/>
    <n v="3"/>
    <m/>
  </r>
  <r>
    <s v="Peso Pluma: Bzrp Music Sessions, Vol. 55"/>
    <s v="Bizarrap, Peso Pluma"/>
    <n v="2"/>
    <n v="2023"/>
    <n v="5"/>
    <n v="31"/>
    <n v="1313"/>
    <n v="40"/>
    <n v="200647221"/>
    <n v="17"/>
    <x v="22"/>
    <n v="32"/>
    <n v="11"/>
    <n v="139"/>
    <n v="133"/>
    <s v="F"/>
    <s v="Minor"/>
    <n v="85"/>
    <n v="81"/>
    <n v="67"/>
    <n v="26"/>
    <x v="0"/>
    <n v="12"/>
    <n v="5"/>
    <m/>
  </r>
  <r>
    <s v="Popular (with Playboi Carti &amp; Madonna) "/>
    <s v="The Weeknd, Madonna, Playboi Carti"/>
    <n v="3"/>
    <n v="2023"/>
    <n v="6"/>
    <n v="2"/>
    <n v="1945"/>
    <n v="87"/>
    <n v="115364561"/>
    <n v="74"/>
    <x v="23"/>
    <n v="87"/>
    <n v="14"/>
    <n v="1093"/>
    <n v="99"/>
    <s v="C#"/>
    <s v="Major"/>
    <n v="85"/>
    <n v="83"/>
    <n v="68"/>
    <n v="7"/>
    <x v="0"/>
    <n v="36"/>
    <n v="20"/>
    <m/>
  </r>
  <r>
    <s v="SABOR FRESA"/>
    <s v="Fuerza Regida"/>
    <n v="1"/>
    <n v="2023"/>
    <n v="6"/>
    <n v="22"/>
    <n v="250"/>
    <n v="26"/>
    <n v="78300654"/>
    <n v="16"/>
    <x v="24"/>
    <n v="10"/>
    <n v="5"/>
    <n v="168"/>
    <n v="130"/>
    <s v="G"/>
    <s v="Minor"/>
    <n v="79"/>
    <n v="96"/>
    <n v="86"/>
    <n v="9"/>
    <x v="0"/>
    <n v="9"/>
    <n v="9"/>
    <m/>
  </r>
  <r>
    <s v="Calm Down (with Selena Gomez)"/>
    <s v="RÃ¯Â¿Â½Ã¯Â¿Â½ma, Selena G"/>
    <n v="2"/>
    <n v="2022"/>
    <n v="3"/>
    <n v="25"/>
    <n v="7112"/>
    <n v="77"/>
    <n v="899183384"/>
    <n v="202"/>
    <x v="20"/>
    <n v="318"/>
    <n v="38"/>
    <n v="96"/>
    <n v="107"/>
    <s v="B"/>
    <s v="Major"/>
    <n v="80"/>
    <n v="82"/>
    <n v="80"/>
    <n v="43"/>
    <x v="0"/>
    <n v="14"/>
    <n v="4"/>
    <m/>
  </r>
  <r>
    <s v="MOJABI GHOST"/>
    <s v="Tainy, Bad Bunny"/>
    <n v="2"/>
    <n v="2023"/>
    <n v="6"/>
    <n v="29"/>
    <n v="859"/>
    <n v="40"/>
    <n v="61245289"/>
    <n v="35"/>
    <x v="25"/>
    <n v="41"/>
    <n v="14"/>
    <n v="211"/>
    <n v="122"/>
    <s v="F#"/>
    <s v="Minor"/>
    <n v="81"/>
    <n v="74"/>
    <n v="71"/>
    <n v="14"/>
    <x v="0"/>
    <n v="56"/>
    <n v="4"/>
    <m/>
  </r>
  <r>
    <s v="Last Night"/>
    <s v="Morgan Wallen"/>
    <n v="1"/>
    <n v="2023"/>
    <n v="1"/>
    <n v="31"/>
    <n v="2420"/>
    <n v="19"/>
    <n v="429829812"/>
    <n v="52"/>
    <x v="26"/>
    <n v="15"/>
    <n v="1"/>
    <n v="325"/>
    <n v="204"/>
    <s v="F#"/>
    <s v="Major"/>
    <n v="52"/>
    <n v="52"/>
    <n v="68"/>
    <n v="46"/>
    <x v="0"/>
    <n v="15"/>
    <n v="4"/>
    <m/>
  </r>
  <r>
    <s v="Dance The Night (From Barbie The Album)"/>
    <s v="Dua Lipa"/>
    <n v="1"/>
    <n v="2023"/>
    <n v="5"/>
    <n v="25"/>
    <n v="2988"/>
    <n v="101"/>
    <n v="127408954"/>
    <n v="0"/>
    <x v="27"/>
    <n v="143"/>
    <n v="38"/>
    <n v="0"/>
    <n v="110"/>
    <s v="B"/>
    <s v="Minor"/>
    <n v="67"/>
    <n v="78"/>
    <n v="85"/>
    <n v="2"/>
    <x v="0"/>
    <n v="33"/>
    <n v="5"/>
    <m/>
  </r>
  <r>
    <s v="Rush"/>
    <s v="Troye Sivan"/>
    <n v="1"/>
    <n v="2023"/>
    <n v="7"/>
    <n v="13"/>
    <n v="864"/>
    <n v="78"/>
    <n v="22581161"/>
    <n v="71"/>
    <x v="28"/>
    <n v="50"/>
    <n v="1"/>
    <n v="294"/>
    <n v="126"/>
    <s v="F"/>
    <s v="Minor"/>
    <n v="74"/>
    <n v="35"/>
    <n v="84"/>
    <n v="0"/>
    <x v="0"/>
    <n v="11"/>
    <n v="6"/>
    <m/>
  </r>
  <r>
    <s v="TULUM"/>
    <s v="Peso Pluma, Grupo Frontera"/>
    <n v="2"/>
    <n v="2023"/>
    <n v="6"/>
    <n v="28"/>
    <n v="266"/>
    <n v="34"/>
    <n v="52294266"/>
    <n v="20"/>
    <x v="29"/>
    <n v="13"/>
    <n v="8"/>
    <n v="197"/>
    <n v="168"/>
    <s v="F#"/>
    <s v="Major"/>
    <n v="56"/>
    <n v="63"/>
    <n v="87"/>
    <n v="39"/>
    <x v="0"/>
    <n v="11"/>
    <n v="5"/>
    <m/>
  </r>
  <r>
    <s v="Creepin'"/>
    <s v="The Weeknd, 21 Savage, Metro Boomin"/>
    <n v="3"/>
    <n v="2022"/>
    <n v="12"/>
    <n v="2"/>
    <n v="6036"/>
    <n v="88"/>
    <n v="843957510"/>
    <n v="113"/>
    <x v="24"/>
    <n v="245"/>
    <n v="23"/>
    <n v="27"/>
    <n v="98"/>
    <s v="C#"/>
    <s v="Minor"/>
    <n v="71"/>
    <n v="17"/>
    <n v="61"/>
    <n v="36"/>
    <x v="0"/>
    <n v="8"/>
    <n v="5"/>
    <m/>
  </r>
  <r>
    <s v="Anti-Hero"/>
    <s v="Taylor Swift"/>
    <n v="1"/>
    <n v="2022"/>
    <n v="10"/>
    <n v="21"/>
    <n v="9082"/>
    <n v="56"/>
    <n v="999748277"/>
    <n v="242"/>
    <x v="30"/>
    <n v="165"/>
    <n v="9"/>
    <n v="310"/>
    <n v="97"/>
    <s v="E"/>
    <s v="Major"/>
    <n v="64"/>
    <n v="51"/>
    <n v="63"/>
    <n v="12"/>
    <x v="0"/>
    <n v="19"/>
    <n v="5"/>
    <m/>
  </r>
  <r>
    <s v="TQG"/>
    <s v="Karol G, Shakira"/>
    <n v="2"/>
    <n v="2023"/>
    <n v="2"/>
    <n v="23"/>
    <n v="4284"/>
    <n v="49"/>
    <n v="618990393"/>
    <n v="115"/>
    <x v="31"/>
    <n v="184"/>
    <n v="18"/>
    <n v="354"/>
    <n v="180"/>
    <s v="E"/>
    <s v="Minor"/>
    <n v="72"/>
    <n v="61"/>
    <n v="63"/>
    <n v="67"/>
    <x v="0"/>
    <n v="9"/>
    <n v="28"/>
    <m/>
  </r>
  <r>
    <s v="Los del Espacio"/>
    <s v="Big One, Duki, Lit Killah, Maria Becerra, FMK, Rusherking, Emilia, Tiago pzk"/>
    <n v="8"/>
    <n v="2023"/>
    <n v="6"/>
    <n v="1"/>
    <n v="1150"/>
    <n v="31"/>
    <n v="123122413"/>
    <n v="22"/>
    <x v="32"/>
    <n v="34"/>
    <n v="7"/>
    <n v="184"/>
    <n v="120"/>
    <m/>
    <s v="Major"/>
    <n v="81"/>
    <n v="63"/>
    <n v="68"/>
    <n v="11"/>
    <x v="0"/>
    <n v="11"/>
    <n v="4"/>
    <m/>
  </r>
  <r>
    <s v="FrÃ¯Â¿Â½Ã¯Â¿Â½gil (feat. Grupo Front"/>
    <s v="Yahritza Y Su Esencia, Grupo Frontera"/>
    <n v="2"/>
    <n v="2023"/>
    <n v="4"/>
    <n v="7"/>
    <n v="672"/>
    <n v="34"/>
    <n v="188933502"/>
    <n v="19"/>
    <x v="33"/>
    <n v="24"/>
    <n v="9"/>
    <n v="212"/>
    <n v="150"/>
    <s v="F#"/>
    <s v="Major"/>
    <n v="61"/>
    <n v="39"/>
    <n v="73"/>
    <n v="37"/>
    <x v="0"/>
    <n v="11"/>
    <n v="3"/>
    <m/>
  </r>
  <r>
    <s v="Blank Space"/>
    <s v="Taylor Swift"/>
    <n v="1"/>
    <n v="2014"/>
    <n v="1"/>
    <n v="1"/>
    <n v="11434"/>
    <n v="53"/>
    <n v="1355959075"/>
    <n v="154"/>
    <x v="31"/>
    <n v="410"/>
    <n v="2"/>
    <n v="81"/>
    <n v="96"/>
    <s v="F"/>
    <s v="Major"/>
    <n v="75"/>
    <n v="57"/>
    <n v="68"/>
    <n v="9"/>
    <x v="0"/>
    <n v="13"/>
    <n v="6"/>
    <m/>
  </r>
  <r>
    <s v="Style"/>
    <s v="Taylor Swift"/>
    <n v="1"/>
    <n v="2014"/>
    <n v="1"/>
    <n v="1"/>
    <n v="7830"/>
    <n v="42"/>
    <n v="786181836"/>
    <n v="94"/>
    <x v="34"/>
    <n v="151"/>
    <n v="4"/>
    <n v="82"/>
    <n v="95"/>
    <s v="D"/>
    <s v="Major"/>
    <n v="60"/>
    <n v="48"/>
    <n v="79"/>
    <n v="0"/>
    <x v="0"/>
    <n v="12"/>
    <n v="4"/>
    <m/>
  </r>
  <r>
    <s v="TQM"/>
    <s v="Fuerza Regida"/>
    <n v="1"/>
    <n v="2023"/>
    <n v="5"/>
    <n v="19"/>
    <n v="584"/>
    <n v="28"/>
    <n v="176553476"/>
    <n v="16"/>
    <x v="35"/>
    <n v="15"/>
    <n v="6"/>
    <n v="100"/>
    <n v="125"/>
    <s v="F"/>
    <s v="Minor"/>
    <n v="79"/>
    <n v="96"/>
    <n v="85"/>
    <n v="27"/>
    <x v="0"/>
    <n v="11"/>
    <n v="6"/>
    <m/>
  </r>
  <r>
    <s v="El Azul"/>
    <s v="Junior H, Peso Pluma"/>
    <n v="2"/>
    <n v="2023"/>
    <n v="2"/>
    <n v="10"/>
    <n v="692"/>
    <n v="25"/>
    <n v="354495408"/>
    <n v="10"/>
    <x v="26"/>
    <n v="6"/>
    <n v="3"/>
    <n v="62"/>
    <n v="144"/>
    <s v="A"/>
    <s v="Minor"/>
    <n v="56"/>
    <n v="84"/>
    <n v="65"/>
    <n v="23"/>
    <x v="0"/>
    <n v="10"/>
    <n v="6"/>
    <m/>
  </r>
  <r>
    <s v="Sunflower - Spider-Man: Into the Spider-Verse"/>
    <s v="Post Malone, Swae Lee"/>
    <n v="2"/>
    <n v="2018"/>
    <n v="10"/>
    <n v="9"/>
    <n v="24094"/>
    <n v="78"/>
    <n v="2808096550"/>
    <n v="372"/>
    <x v="36"/>
    <n v="843"/>
    <n v="4"/>
    <n v="69"/>
    <n v="90"/>
    <s v="D"/>
    <s v="Major"/>
    <n v="76"/>
    <n v="91"/>
    <n v="50"/>
    <n v="54"/>
    <x v="0"/>
    <n v="7"/>
    <n v="5"/>
    <m/>
  </r>
  <r>
    <s v="I'm Good (Blue)"/>
    <s v="Bebe Rexha, David Guetta"/>
    <n v="2"/>
    <n v="2022"/>
    <n v="8"/>
    <n v="26"/>
    <n v="12482"/>
    <n v="80"/>
    <n v="1109433169"/>
    <n v="291"/>
    <x v="37"/>
    <n v="537"/>
    <n v="45"/>
    <n v="727"/>
    <n v="128"/>
    <s v="G"/>
    <s v="Minor"/>
    <n v="56"/>
    <n v="38"/>
    <n v="97"/>
    <n v="4"/>
    <x v="0"/>
    <n v="35"/>
    <n v="4"/>
    <m/>
  </r>
  <r>
    <s v="See You Again"/>
    <s v="Tyler, The Creator, Kali Uchis"/>
    <n v="3"/>
    <n v="2017"/>
    <n v="7"/>
    <n v="21"/>
    <n v="13387"/>
    <n v="64"/>
    <n v="1047101291"/>
    <n v="77"/>
    <x v="38"/>
    <n v="247"/>
    <n v="1"/>
    <n v="311"/>
    <n v="79"/>
    <s v="F#"/>
    <s v="Major"/>
    <n v="56"/>
    <n v="58"/>
    <n v="56"/>
    <n v="37"/>
    <x v="0"/>
    <n v="11"/>
    <n v="10"/>
    <m/>
  </r>
  <r>
    <s v="Barbie World (with Aqua) "/>
    <s v="Nicki Minaj, Aqua, Ice Spice"/>
    <n v="3"/>
    <n v="2023"/>
    <n v="6"/>
    <n v="23"/>
    <n v="1117"/>
    <n v="80"/>
    <n v="65156199"/>
    <n v="82"/>
    <x v="39"/>
    <n v="65"/>
    <n v="16"/>
    <n v="1133"/>
    <n v="144"/>
    <m/>
    <s v="Major"/>
    <n v="77"/>
    <n v="75"/>
    <n v="58"/>
    <n v="52"/>
    <x v="0"/>
    <n v="23"/>
    <n v="25"/>
    <m/>
  </r>
  <r>
    <s v="Angels Like You"/>
    <s v="Miley Cyrus"/>
    <n v="1"/>
    <n v="2020"/>
    <n v="11"/>
    <n v="27"/>
    <n v="3372"/>
    <n v="19"/>
    <n v="570515054"/>
    <n v="65"/>
    <x v="40"/>
    <n v="138"/>
    <n v="1"/>
    <n v="102"/>
    <n v="122"/>
    <s v="F"/>
    <s v="Major"/>
    <n v="67"/>
    <n v="49"/>
    <n v="64"/>
    <n v="10"/>
    <x v="0"/>
    <n v="10"/>
    <n v="3"/>
    <m/>
  </r>
  <r>
    <s v="I Ain't Worried"/>
    <s v="OneRepublic"/>
    <n v="1"/>
    <n v="2022"/>
    <n v="5"/>
    <n v="13"/>
    <n v="8431"/>
    <n v="76"/>
    <n v="1085685420"/>
    <n v="241"/>
    <x v="41"/>
    <n v="458"/>
    <n v="37"/>
    <n v="332"/>
    <n v="140"/>
    <m/>
    <s v="Major"/>
    <n v="71"/>
    <n v="82"/>
    <n v="81"/>
    <n v="11"/>
    <x v="0"/>
    <n v="6"/>
    <n v="5"/>
    <m/>
  </r>
  <r>
    <s v="Die For You"/>
    <s v="The Weeknd"/>
    <n v="1"/>
    <n v="2016"/>
    <n v="11"/>
    <n v="24"/>
    <n v="2483"/>
    <n v="59"/>
    <n v="1647990401"/>
    <n v="68"/>
    <x v="42"/>
    <n v="24"/>
    <n v="0"/>
    <n v="259"/>
    <n v="134"/>
    <s v="C#"/>
    <s v="Minor"/>
    <n v="59"/>
    <n v="51"/>
    <n v="52"/>
    <n v="9"/>
    <x v="0"/>
    <n v="15"/>
    <n v="7"/>
    <m/>
  </r>
  <r>
    <s v="Starboy"/>
    <s v="The Weeknd, Daft Punk"/>
    <n v="2"/>
    <n v="2016"/>
    <n v="9"/>
    <n v="21"/>
    <n v="29536"/>
    <n v="79"/>
    <n v="2565529693"/>
    <n v="281"/>
    <x v="43"/>
    <n v="2445"/>
    <n v="1"/>
    <n v="140"/>
    <n v="186"/>
    <s v="G"/>
    <s v="Major"/>
    <n v="68"/>
    <n v="49"/>
    <n v="59"/>
    <n v="16"/>
    <x v="0"/>
    <n v="13"/>
    <n v="28"/>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Latto, Jung Kook"/>
    <n v="2"/>
    <x v="0"/>
    <n v="7"/>
    <n v="14"/>
    <n v="553"/>
    <n v="147"/>
    <n v="141381703"/>
    <n v="43"/>
    <n v="263"/>
    <n v="45"/>
    <n v="10"/>
    <n v="826"/>
    <n v="125"/>
    <s v="B"/>
    <s v="Major"/>
    <n v="80"/>
    <n v="89"/>
    <n v="83"/>
    <n v="31"/>
  </r>
  <r>
    <x v="1"/>
    <s v="Myke Towers"/>
    <n v="1"/>
    <x v="0"/>
    <n v="3"/>
    <n v="23"/>
    <n v="1474"/>
    <n v="48"/>
    <n v="133716286"/>
    <n v="48"/>
    <n v="126"/>
    <n v="58"/>
    <n v="14"/>
    <n v="382"/>
    <n v="92"/>
    <s v="C#"/>
    <s v="Major"/>
    <n v="71"/>
    <n v="61"/>
    <n v="74"/>
    <n v="7"/>
  </r>
  <r>
    <x v="2"/>
    <s v="Olivia Rodrigo"/>
    <n v="1"/>
    <x v="0"/>
    <n v="6"/>
    <n v="30"/>
    <n v="1397"/>
    <n v="113"/>
    <n v="140003974"/>
    <n v="94"/>
    <n v="207"/>
    <n v="91"/>
    <n v="14"/>
    <n v="949"/>
    <n v="138"/>
    <s v="F"/>
    <s v="Major"/>
    <n v="51"/>
    <n v="32"/>
    <n v="53"/>
    <n v="17"/>
  </r>
  <r>
    <x v="3"/>
    <s v="Taylor Swift"/>
    <n v="1"/>
    <x v="1"/>
    <n v="8"/>
    <n v="23"/>
    <n v="7858"/>
    <n v="100"/>
    <n v="800840817"/>
    <n v="116"/>
    <n v="207"/>
    <n v="125"/>
    <n v="12"/>
    <n v="548"/>
    <n v="170"/>
    <s v="A"/>
    <s v="Major"/>
    <n v="55"/>
    <n v="58"/>
    <n v="72"/>
    <n v="11"/>
  </r>
  <r>
    <x v="4"/>
    <s v="Bad Bunny"/>
    <n v="1"/>
    <x v="0"/>
    <n v="5"/>
    <n v="18"/>
    <n v="3133"/>
    <n v="50"/>
    <n v="303236322"/>
    <n v="84"/>
    <n v="133"/>
    <n v="87"/>
    <n v="15"/>
    <n v="425"/>
    <n v="144"/>
    <s v="A"/>
    <s v="Minor"/>
    <n v="65"/>
    <n v="23"/>
    <n v="80"/>
    <n v="14"/>
  </r>
  <r>
    <x v="5"/>
    <s v="Dave, Central Cee"/>
    <n v="2"/>
    <x v="0"/>
    <n v="6"/>
    <n v="1"/>
    <n v="2186"/>
    <n v="91"/>
    <n v="183706234"/>
    <n v="67"/>
    <n v="213"/>
    <n v="88"/>
    <n v="17"/>
    <n v="946"/>
    <n v="141"/>
    <s v="C#"/>
    <s v="Major"/>
    <n v="92"/>
    <n v="66"/>
    <n v="58"/>
    <n v="19"/>
  </r>
  <r>
    <x v="6"/>
    <s v="Eslabon Armado, Peso Pluma"/>
    <n v="2"/>
    <x v="0"/>
    <n v="3"/>
    <n v="16"/>
    <n v="3090"/>
    <n v="50"/>
    <n v="725980112"/>
    <n v="34"/>
    <n v="222"/>
    <n v="43"/>
    <n v="13"/>
    <n v="418"/>
    <n v="148"/>
    <s v="F"/>
    <s v="Minor"/>
    <n v="67"/>
    <n v="83"/>
    <n v="76"/>
    <n v="48"/>
  </r>
  <r>
    <x v="7"/>
    <s v="Quevedo"/>
    <n v="1"/>
    <x v="0"/>
    <n v="7"/>
    <n v="7"/>
    <n v="714"/>
    <n v="43"/>
    <n v="58149378"/>
    <n v="25"/>
    <n v="89"/>
    <n v="30"/>
    <n v="13"/>
    <n v="194"/>
    <n v="100"/>
    <s v="F"/>
    <s v="Major"/>
    <n v="67"/>
    <n v="26"/>
    <n v="71"/>
    <n v="37"/>
  </r>
  <r>
    <x v="8"/>
    <s v="Gunna"/>
    <n v="1"/>
    <x v="0"/>
    <n v="5"/>
    <n v="15"/>
    <n v="1096"/>
    <n v="83"/>
    <n v="95217315"/>
    <n v="60"/>
    <n v="210"/>
    <n v="48"/>
    <n v="11"/>
    <n v="953"/>
    <n v="130"/>
    <s v="C#"/>
    <s v="Minor"/>
    <n v="85"/>
    <n v="22"/>
    <n v="62"/>
    <n v="12"/>
  </r>
  <r>
    <x v="9"/>
    <s v="Peso Pluma, Yng Lvcas"/>
    <n v="2"/>
    <x v="0"/>
    <n v="3"/>
    <n v="17"/>
    <n v="2953"/>
    <n v="44"/>
    <n v="553634067"/>
    <n v="49"/>
    <n v="110"/>
    <n v="66"/>
    <n v="13"/>
    <n v="339"/>
    <n v="170"/>
    <s v="D"/>
    <s v="Minor"/>
    <n v="81"/>
    <n v="56"/>
    <n v="48"/>
    <n v="21"/>
  </r>
  <r>
    <x v="10"/>
    <s v="Bad Bunny, Grupo Frontera"/>
    <n v="2"/>
    <x v="0"/>
    <n v="4"/>
    <n v="17"/>
    <n v="2876"/>
    <n v="40"/>
    <n v="505671438"/>
    <n v="41"/>
    <n v="205"/>
    <n v="54"/>
    <n v="12"/>
    <n v="251"/>
    <n v="83"/>
    <s v="F#"/>
    <s v="Minor"/>
    <n v="57"/>
    <n v="56"/>
    <n v="72"/>
    <n v="23"/>
  </r>
  <r>
    <x v="11"/>
    <s v="NewJeans"/>
    <n v="1"/>
    <x v="0"/>
    <n v="7"/>
    <n v="7"/>
    <n v="422"/>
    <n v="55"/>
    <n v="58255150"/>
    <n v="37"/>
    <n v="202"/>
    <n v="21"/>
    <n v="5"/>
    <n v="168"/>
    <n v="150"/>
    <s v="F"/>
    <s v="Minor"/>
    <n v="78"/>
    <n v="52"/>
    <n v="82"/>
    <n v="18"/>
  </r>
  <r>
    <x v="12"/>
    <s v="Miley Cyrus"/>
    <n v="1"/>
    <x v="0"/>
    <n v="1"/>
    <n v="12"/>
    <n v="12211"/>
    <n v="115"/>
    <n v="1316855716"/>
    <n v="300"/>
    <n v="215"/>
    <n v="745"/>
    <n v="58"/>
    <n v="1021"/>
    <n v="118"/>
    <m/>
    <s v="Major"/>
    <n v="71"/>
    <n v="65"/>
    <n v="68"/>
    <n v="6"/>
  </r>
  <r>
    <x v="13"/>
    <s v="David Kushner"/>
    <n v="1"/>
    <x v="0"/>
    <n v="4"/>
    <n v="14"/>
    <n v="3528"/>
    <n v="98"/>
    <n v="30742"/>
    <n v="80"/>
    <n v="156"/>
    <n v="182"/>
    <n v="24"/>
    <n v="1281"/>
    <n v="130"/>
    <s v="D"/>
    <s v="Minor"/>
    <n v="51"/>
    <n v="32"/>
    <n v="43"/>
    <n v="83"/>
  </r>
  <r>
    <x v="14"/>
    <s v="Harry Styles"/>
    <n v="1"/>
    <x v="2"/>
    <n v="3"/>
    <n v="31"/>
    <n v="23575"/>
    <n v="130"/>
    <n v="2513188493"/>
    <n v="403"/>
    <n v="198"/>
    <n v="863"/>
    <n v="46"/>
    <m/>
    <n v="174"/>
    <s v="F#"/>
    <s v="Minor"/>
    <n v="52"/>
    <n v="66"/>
    <n v="73"/>
    <n v="34"/>
  </r>
  <r>
    <x v="15"/>
    <s v="SZA"/>
    <n v="1"/>
    <x v="2"/>
    <n v="12"/>
    <n v="8"/>
    <n v="8109"/>
    <n v="77"/>
    <n v="1163093654"/>
    <n v="183"/>
    <n v="162"/>
    <n v="161"/>
    <n v="12"/>
    <n v="187"/>
    <n v="89"/>
    <s v="G#"/>
    <s v="Major"/>
    <n v="64"/>
    <n v="43"/>
    <n v="73"/>
    <n v="5"/>
  </r>
  <r>
    <x v="16"/>
    <s v="Fifty Fifty"/>
    <n v="1"/>
    <x v="0"/>
    <n v="2"/>
    <n v="24"/>
    <n v="2942"/>
    <n v="77"/>
    <n v="496795686"/>
    <n v="91"/>
    <n v="212"/>
    <n v="78"/>
    <n v="6"/>
    <n v="0"/>
    <n v="120"/>
    <s v="B"/>
    <s v="Minor"/>
    <n v="78"/>
    <n v="76"/>
    <n v="59"/>
    <n v="43"/>
  </r>
  <r>
    <x v="17"/>
    <s v="Billie Eilish"/>
    <n v="1"/>
    <x v="0"/>
    <n v="7"/>
    <n v="13"/>
    <n v="873"/>
    <n v="104"/>
    <n v="30546883"/>
    <n v="80"/>
    <n v="227"/>
    <n v="95"/>
    <n v="24"/>
    <n v="1173"/>
    <n v="78"/>
    <m/>
    <s v="Major"/>
    <n v="44"/>
    <n v="14"/>
    <n v="9"/>
    <n v="96"/>
  </r>
  <r>
    <x v="18"/>
    <s v="Feid, Young Miko"/>
    <n v="2"/>
    <x v="0"/>
    <n v="3"/>
    <n v="31"/>
    <n v="2610"/>
    <n v="40"/>
    <n v="335222234"/>
    <n v="43"/>
    <n v="100"/>
    <n v="54"/>
    <n v="14"/>
    <n v="187"/>
    <n v="100"/>
    <s v="B"/>
    <s v="Major"/>
    <n v="86"/>
    <n v="67"/>
    <n v="66"/>
    <n v="14"/>
  </r>
  <r>
    <x v="19"/>
    <s v="Jimin"/>
    <n v="1"/>
    <x v="0"/>
    <n v="3"/>
    <n v="24"/>
    <n v="596"/>
    <n v="68"/>
    <n v="363369738"/>
    <n v="8"/>
    <n v="104"/>
    <n v="23"/>
    <n v="2"/>
    <n v="29"/>
    <n v="120"/>
    <s v="G"/>
    <s v="Major"/>
    <n v="63"/>
    <n v="36"/>
    <n v="73"/>
    <n v="0"/>
  </r>
  <r>
    <x v="20"/>
    <s v="Gabito Ballesteros, Junior H, Peso Pluma"/>
    <n v="3"/>
    <x v="0"/>
    <n v="6"/>
    <n v="22"/>
    <n v="332"/>
    <n v="26"/>
    <n v="86444842"/>
    <n v="11"/>
    <n v="163"/>
    <n v="10"/>
    <n v="4"/>
    <n v="0"/>
    <n v="140"/>
    <s v="F"/>
    <s v="Minor"/>
    <n v="65"/>
    <n v="87"/>
    <n v="74"/>
    <n v="22"/>
  </r>
  <r>
    <x v="21"/>
    <s v="Taylor Swift"/>
    <n v="1"/>
    <x v="0"/>
    <n v="7"/>
    <n v="7"/>
    <n v="516"/>
    <n v="38"/>
    <n v="52135248"/>
    <n v="73"/>
    <n v="119"/>
    <n v="42"/>
    <n v="1"/>
    <n v="150"/>
    <n v="123"/>
    <s v="F#"/>
    <s v="Major"/>
    <n v="69"/>
    <n v="82"/>
    <n v="76"/>
    <n v="6"/>
  </r>
  <r>
    <x v="22"/>
    <s v="Arctic Monkeys"/>
    <n v="1"/>
    <x v="3"/>
    <n v="1"/>
    <n v="1"/>
    <n v="12859"/>
    <n v="110"/>
    <n v="1297026226"/>
    <n v="24"/>
    <n v="98"/>
    <n v="582"/>
    <n v="2"/>
    <n v="73"/>
    <n v="135"/>
    <m/>
    <s v="Minor"/>
    <n v="48"/>
    <n v="44"/>
    <n v="42"/>
    <n v="12"/>
  </r>
  <r>
    <x v="23"/>
    <s v="Bizarrap, Peso Pluma"/>
    <n v="2"/>
    <x v="0"/>
    <n v="5"/>
    <n v="31"/>
    <n v="1313"/>
    <n v="40"/>
    <n v="200647221"/>
    <n v="17"/>
    <n v="152"/>
    <n v="32"/>
    <n v="11"/>
    <n v="139"/>
    <n v="133"/>
    <s v="F"/>
    <s v="Minor"/>
    <n v="85"/>
    <n v="81"/>
    <n v="67"/>
    <n v="26"/>
  </r>
  <r>
    <x v="24"/>
    <s v="The Weeknd, Madonna, Playboi Carti"/>
    <n v="3"/>
    <x v="0"/>
    <n v="6"/>
    <n v="2"/>
    <n v="1945"/>
    <n v="87"/>
    <n v="115364561"/>
    <n v="74"/>
    <n v="182"/>
    <n v="87"/>
    <n v="14"/>
    <n v="1093"/>
    <n v="99"/>
    <s v="C#"/>
    <s v="Major"/>
    <n v="85"/>
    <n v="83"/>
    <n v="68"/>
    <n v="7"/>
  </r>
  <r>
    <x v="25"/>
    <s v="Fuerza Regida"/>
    <n v="1"/>
    <x v="0"/>
    <n v="6"/>
    <n v="22"/>
    <n v="250"/>
    <n v="26"/>
    <n v="78300654"/>
    <n v="16"/>
    <n v="149"/>
    <n v="10"/>
    <n v="5"/>
    <n v="168"/>
    <n v="130"/>
    <s v="G"/>
    <s v="Minor"/>
    <n v="79"/>
    <n v="96"/>
    <n v="86"/>
    <n v="9"/>
  </r>
  <r>
    <x v="26"/>
    <s v="RÃ¯Â¿Â½Ã¯Â¿Â½ma, Selena G"/>
    <n v="2"/>
    <x v="2"/>
    <n v="3"/>
    <n v="25"/>
    <n v="7112"/>
    <n v="77"/>
    <n v="899183384"/>
    <n v="202"/>
    <n v="119"/>
    <n v="318"/>
    <n v="38"/>
    <n v="96"/>
    <n v="107"/>
    <s v="B"/>
    <s v="Major"/>
    <n v="80"/>
    <n v="82"/>
    <n v="80"/>
    <n v="43"/>
  </r>
  <r>
    <x v="27"/>
    <s v="Tainy, Bad Bunny"/>
    <n v="2"/>
    <x v="0"/>
    <n v="6"/>
    <n v="29"/>
    <n v="859"/>
    <n v="40"/>
    <n v="61245289"/>
    <n v="35"/>
    <n v="109"/>
    <n v="41"/>
    <n v="14"/>
    <n v="211"/>
    <n v="122"/>
    <s v="F#"/>
    <s v="Minor"/>
    <n v="81"/>
    <n v="74"/>
    <n v="71"/>
    <n v="14"/>
  </r>
  <r>
    <x v="28"/>
    <s v="Morgan Wallen"/>
    <n v="1"/>
    <x v="0"/>
    <n v="1"/>
    <n v="31"/>
    <n v="2420"/>
    <n v="19"/>
    <n v="429829812"/>
    <n v="52"/>
    <n v="107"/>
    <n v="15"/>
    <n v="1"/>
    <n v="325"/>
    <n v="204"/>
    <s v="F#"/>
    <s v="Major"/>
    <n v="52"/>
    <n v="52"/>
    <n v="68"/>
    <n v="46"/>
  </r>
  <r>
    <x v="29"/>
    <s v="Dua Lipa"/>
    <n v="1"/>
    <x v="0"/>
    <n v="5"/>
    <n v="25"/>
    <n v="2988"/>
    <n v="101"/>
    <n v="127408954"/>
    <n v="0"/>
    <n v="0"/>
    <n v="143"/>
    <n v="38"/>
    <n v="0"/>
    <n v="110"/>
    <s v="B"/>
    <s v="Minor"/>
    <n v="67"/>
    <n v="78"/>
    <n v="85"/>
    <n v="2"/>
  </r>
  <r>
    <x v="30"/>
    <s v="Troye Sivan"/>
    <n v="1"/>
    <x v="0"/>
    <n v="7"/>
    <n v="13"/>
    <n v="864"/>
    <n v="78"/>
    <n v="22581161"/>
    <n v="71"/>
    <n v="135"/>
    <n v="50"/>
    <n v="1"/>
    <n v="294"/>
    <n v="126"/>
    <s v="F"/>
    <s v="Minor"/>
    <n v="74"/>
    <n v="35"/>
    <n v="84"/>
    <n v="0"/>
  </r>
  <r>
    <x v="31"/>
    <s v="Peso Pluma, Grupo Frontera"/>
    <n v="2"/>
    <x v="0"/>
    <n v="6"/>
    <n v="28"/>
    <n v="266"/>
    <n v="34"/>
    <n v="52294266"/>
    <n v="20"/>
    <n v="185"/>
    <n v="13"/>
    <n v="8"/>
    <n v="197"/>
    <n v="168"/>
    <s v="F#"/>
    <s v="Major"/>
    <n v="56"/>
    <n v="63"/>
    <n v="87"/>
    <n v="39"/>
  </r>
  <r>
    <x v="32"/>
    <s v="The Weeknd, 21 Savage, Metro Boomin"/>
    <n v="3"/>
    <x v="2"/>
    <n v="12"/>
    <n v="2"/>
    <n v="6036"/>
    <n v="88"/>
    <n v="843957510"/>
    <n v="113"/>
    <n v="149"/>
    <n v="245"/>
    <n v="23"/>
    <n v="27"/>
    <n v="98"/>
    <s v="C#"/>
    <s v="Minor"/>
    <n v="71"/>
    <n v="17"/>
    <n v="61"/>
    <n v="36"/>
  </r>
  <r>
    <x v="33"/>
    <s v="Taylor Swift"/>
    <n v="1"/>
    <x v="2"/>
    <n v="10"/>
    <n v="21"/>
    <n v="9082"/>
    <n v="56"/>
    <n v="999748277"/>
    <n v="242"/>
    <n v="142"/>
    <n v="165"/>
    <n v="9"/>
    <n v="310"/>
    <n v="97"/>
    <s v="E"/>
    <s v="Major"/>
    <n v="64"/>
    <n v="51"/>
    <n v="63"/>
    <n v="12"/>
  </r>
  <r>
    <x v="34"/>
    <s v="Karol G, Shakira"/>
    <n v="2"/>
    <x v="0"/>
    <n v="2"/>
    <n v="23"/>
    <n v="4284"/>
    <n v="49"/>
    <n v="618990393"/>
    <n v="115"/>
    <n v="123"/>
    <n v="184"/>
    <n v="18"/>
    <n v="354"/>
    <n v="180"/>
    <s v="E"/>
    <s v="Minor"/>
    <n v="72"/>
    <n v="61"/>
    <n v="63"/>
    <n v="67"/>
  </r>
  <r>
    <x v="35"/>
    <s v="Big One, Duki, Lit Killah, Maria Becerra, FMK, Rusherking, Emilia, Tiago pzk"/>
    <n v="8"/>
    <x v="0"/>
    <n v="6"/>
    <n v="1"/>
    <n v="1150"/>
    <n v="31"/>
    <n v="123122413"/>
    <n v="22"/>
    <n v="33"/>
    <n v="34"/>
    <n v="7"/>
    <n v="184"/>
    <n v="120"/>
    <m/>
    <s v="Major"/>
    <n v="81"/>
    <n v="63"/>
    <n v="68"/>
    <n v="11"/>
  </r>
  <r>
    <x v="36"/>
    <s v="Yahritza Y Su Esencia, Grupo Frontera"/>
    <n v="2"/>
    <x v="0"/>
    <n v="4"/>
    <n v="7"/>
    <n v="672"/>
    <n v="34"/>
    <n v="188933502"/>
    <n v="19"/>
    <n v="108"/>
    <n v="24"/>
    <n v="9"/>
    <n v="212"/>
    <n v="150"/>
    <s v="F#"/>
    <s v="Major"/>
    <n v="61"/>
    <n v="39"/>
    <n v="73"/>
    <n v="37"/>
  </r>
  <r>
    <x v="37"/>
    <s v="Taylor Swift"/>
    <n v="1"/>
    <x v="4"/>
    <n v="1"/>
    <n v="1"/>
    <n v="11434"/>
    <n v="53"/>
    <n v="1355959075"/>
    <n v="154"/>
    <n v="123"/>
    <n v="410"/>
    <n v="2"/>
    <n v="81"/>
    <n v="96"/>
    <s v="F"/>
    <s v="Major"/>
    <n v="75"/>
    <n v="57"/>
    <n v="68"/>
    <n v="9"/>
  </r>
  <r>
    <x v="38"/>
    <s v="Taylor Swift"/>
    <n v="1"/>
    <x v="4"/>
    <n v="1"/>
    <n v="1"/>
    <n v="7830"/>
    <n v="42"/>
    <n v="786181836"/>
    <n v="94"/>
    <n v="111"/>
    <n v="151"/>
    <n v="4"/>
    <n v="82"/>
    <n v="95"/>
    <s v="D"/>
    <s v="Major"/>
    <n v="60"/>
    <n v="48"/>
    <n v="79"/>
    <n v="0"/>
  </r>
  <r>
    <x v="39"/>
    <s v="Fuerza Regida"/>
    <n v="1"/>
    <x v="0"/>
    <n v="5"/>
    <n v="19"/>
    <n v="584"/>
    <n v="28"/>
    <n v="176553476"/>
    <n v="16"/>
    <n v="159"/>
    <n v="15"/>
    <n v="6"/>
    <n v="100"/>
    <n v="125"/>
    <s v="F"/>
    <s v="Minor"/>
    <n v="79"/>
    <n v="96"/>
    <n v="85"/>
    <n v="27"/>
  </r>
  <r>
    <x v="40"/>
    <s v="Junior H, Peso Pluma"/>
    <n v="2"/>
    <x v="0"/>
    <n v="2"/>
    <n v="10"/>
    <n v="692"/>
    <n v="25"/>
    <n v="354495408"/>
    <n v="10"/>
    <n v="107"/>
    <n v="6"/>
    <n v="3"/>
    <n v="62"/>
    <n v="144"/>
    <s v="A"/>
    <s v="Minor"/>
    <n v="56"/>
    <n v="84"/>
    <n v="65"/>
    <n v="23"/>
  </r>
  <r>
    <x v="41"/>
    <s v="Post Malone, Swae Lee"/>
    <n v="2"/>
    <x v="5"/>
    <n v="10"/>
    <n v="9"/>
    <n v="24094"/>
    <n v="78"/>
    <n v="2808096550"/>
    <n v="372"/>
    <n v="117"/>
    <n v="843"/>
    <n v="4"/>
    <n v="69"/>
    <n v="90"/>
    <s v="D"/>
    <s v="Major"/>
    <n v="76"/>
    <n v="91"/>
    <n v="50"/>
    <n v="54"/>
  </r>
  <r>
    <x v="42"/>
    <s v="Bebe Rexha, David Guetta"/>
    <n v="2"/>
    <x v="2"/>
    <n v="8"/>
    <n v="26"/>
    <n v="12482"/>
    <n v="80"/>
    <n v="1109433169"/>
    <n v="291"/>
    <n v="184"/>
    <n v="537"/>
    <n v="45"/>
    <n v="727"/>
    <n v="128"/>
    <s v="G"/>
    <s v="Minor"/>
    <n v="56"/>
    <n v="38"/>
    <n v="97"/>
    <n v="4"/>
  </r>
  <r>
    <x v="43"/>
    <s v="Tyler, The Creator, Kali Uchis"/>
    <n v="3"/>
    <x v="6"/>
    <n v="7"/>
    <n v="21"/>
    <n v="13387"/>
    <n v="64"/>
    <n v="1047101291"/>
    <n v="77"/>
    <n v="58"/>
    <n v="247"/>
    <n v="1"/>
    <n v="311"/>
    <n v="79"/>
    <s v="F#"/>
    <s v="Major"/>
    <n v="56"/>
    <n v="58"/>
    <n v="56"/>
    <n v="37"/>
  </r>
  <r>
    <x v="44"/>
    <s v="Nicki Minaj, Aqua, Ice Spice"/>
    <n v="3"/>
    <x v="0"/>
    <n v="6"/>
    <n v="23"/>
    <n v="1117"/>
    <n v="80"/>
    <n v="65156199"/>
    <n v="82"/>
    <n v="145"/>
    <n v="65"/>
    <n v="16"/>
    <n v="1133"/>
    <n v="144"/>
    <m/>
    <s v="Major"/>
    <n v="77"/>
    <n v="75"/>
    <n v="58"/>
    <n v="52"/>
  </r>
  <r>
    <x v="45"/>
    <s v="Miley Cyrus"/>
    <n v="1"/>
    <x v="7"/>
    <n v="11"/>
    <n v="27"/>
    <n v="3372"/>
    <n v="19"/>
    <n v="570515054"/>
    <n v="65"/>
    <n v="48"/>
    <n v="138"/>
    <n v="1"/>
    <n v="102"/>
    <n v="122"/>
    <s v="F"/>
    <s v="Major"/>
    <n v="67"/>
    <n v="49"/>
    <n v="64"/>
    <n v="10"/>
  </r>
  <r>
    <x v="46"/>
    <s v="OneRepublic"/>
    <n v="1"/>
    <x v="2"/>
    <n v="5"/>
    <n v="13"/>
    <n v="8431"/>
    <n v="76"/>
    <n v="1085685420"/>
    <n v="241"/>
    <n v="127"/>
    <n v="458"/>
    <n v="37"/>
    <n v="332"/>
    <n v="140"/>
    <m/>
    <s v="Major"/>
    <n v="71"/>
    <n v="82"/>
    <n v="81"/>
    <n v="11"/>
  </r>
  <r>
    <x v="47"/>
    <s v="The Weeknd"/>
    <n v="1"/>
    <x v="8"/>
    <n v="11"/>
    <n v="24"/>
    <n v="2483"/>
    <n v="59"/>
    <n v="1647990401"/>
    <n v="68"/>
    <n v="21"/>
    <n v="24"/>
    <n v="0"/>
    <n v="259"/>
    <n v="134"/>
    <s v="C#"/>
    <s v="Minor"/>
    <n v="59"/>
    <n v="51"/>
    <n v="52"/>
    <n v="9"/>
  </r>
  <r>
    <x v="48"/>
    <s v="The Weeknd, Daft Punk"/>
    <n v="2"/>
    <x v="8"/>
    <n v="9"/>
    <n v="21"/>
    <n v="29536"/>
    <n v="79"/>
    <n v="2565529693"/>
    <n v="281"/>
    <n v="137"/>
    <n v="2445"/>
    <n v="1"/>
    <n v="140"/>
    <n v="186"/>
    <s v="G"/>
    <s v="Major"/>
    <n v="68"/>
    <n v="49"/>
    <n v="59"/>
    <n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A271E2-475F-4051-B1A3-0A3643FC02F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8"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dataField="1" showAll="0">
      <items count="45">
        <item h="1" x="36"/>
        <item h="1" x="19"/>
        <item h="1" x="28"/>
        <item h="1" x="25"/>
        <item h="1" x="11"/>
        <item h="1" x="18"/>
        <item h="1" x="33"/>
        <item x="7"/>
        <item h="1" x="22"/>
        <item h="1" x="32"/>
        <item h="1" x="24"/>
        <item h="1" x="20"/>
        <item h="1" x="6"/>
        <item h="1" x="0"/>
        <item h="1" x="8"/>
        <item h="1" x="27"/>
        <item h="1" x="10"/>
        <item h="1" x="1"/>
        <item h="1" x="40"/>
        <item h="1" x="9"/>
        <item h="1" x="16"/>
        <item h="1" x="4"/>
        <item h="1" x="5"/>
        <item h="1" x="2"/>
        <item h="1" x="17"/>
        <item h="1" x="3"/>
        <item h="1" x="41"/>
        <item h="1" x="26"/>
        <item h="1" x="35"/>
        <item h="1" x="15"/>
        <item h="1" x="30"/>
        <item h="1" x="13"/>
        <item h="1" x="31"/>
        <item h="1" x="29"/>
        <item h="1" x="39"/>
        <item h="1" x="23"/>
        <item h="1" x="34"/>
        <item h="1" x="42"/>
        <item h="1" x="38"/>
        <item h="1" x="21"/>
        <item h="1" x="12"/>
        <item h="1" x="37"/>
        <item h="1" x="14"/>
        <item h="1" x="43"/>
        <item t="default"/>
      </items>
    </pivotField>
    <pivotField dataField="1" showAll="0"/>
    <pivotField dataField="1" showAll="0">
      <items count="46">
        <item x="16"/>
        <item x="28"/>
        <item x="18"/>
        <item x="36"/>
        <item x="37"/>
        <item x="20"/>
        <item x="33"/>
        <item x="34"/>
        <item x="23"/>
        <item x="35"/>
        <item x="41"/>
        <item x="21"/>
        <item x="44"/>
        <item x="19"/>
        <item x="11"/>
        <item x="31"/>
        <item x="15"/>
        <item x="7"/>
        <item x="27"/>
        <item x="24"/>
        <item x="32"/>
        <item x="10"/>
        <item x="43"/>
        <item x="26"/>
        <item x="29"/>
        <item x="39"/>
        <item x="25"/>
        <item x="42"/>
        <item x="9"/>
        <item x="30"/>
        <item x="1"/>
        <item x="6"/>
        <item x="4"/>
        <item x="3"/>
        <item x="38"/>
        <item x="0"/>
        <item x="5"/>
        <item x="2"/>
        <item x="8"/>
        <item x="12"/>
        <item x="22"/>
        <item x="40"/>
        <item x="17"/>
        <item x="13"/>
        <item x="14"/>
        <item t="default"/>
      </items>
    </pivotField>
    <pivotField showAll="0"/>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showAll="0"/>
  </pivotFields>
  <rowFields count="1">
    <field x="21"/>
  </rowFields>
  <rowItems count="5">
    <i>
      <x/>
    </i>
    <i>
      <x v="1"/>
    </i>
    <i>
      <x v="2"/>
    </i>
    <i>
      <x v="3"/>
    </i>
    <i t="grand">
      <x/>
    </i>
  </rowItems>
  <colFields count="1">
    <field x="-2"/>
  </colFields>
  <colItems count="3">
    <i>
      <x/>
    </i>
    <i i="1">
      <x v="1"/>
    </i>
    <i i="2">
      <x v="2"/>
    </i>
  </colItems>
  <dataFields count="3">
    <dataField name="Sum of in_deezer_playlists" fld="11" baseField="0" baseItem="0"/>
    <dataField name="Sum of in_deezer_charts" fld="12" baseField="0" baseItem="0"/>
    <dataField name="Sum of in_shazam_charts"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116823-C086-4A32-9362-1ADEE236B50F}"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0" firstDataRow="1" firstDataCol="1"/>
  <pivotFields count="25">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3">
    <i>
      <x/>
    </i>
    <i i="1">
      <x v="1"/>
    </i>
    <i i="2">
      <x v="2"/>
    </i>
  </colItems>
  <dataFields count="3">
    <dataField name="Sum of in_apple_charts" fld="10" baseField="0" baseItem="0"/>
    <dataField name="Sum of in_deezer_playlists" fld="11" baseField="0" baseItem="0"/>
    <dataField name="Sum of in_deezer_charts" fld="12"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1"/>
          </reference>
          <reference field="2" count="1" selected="0">
            <x v="0"/>
          </reference>
        </references>
      </pivotArea>
    </chartFormat>
    <chartFormat chart="0" format="8">
      <pivotArea type="data" outline="0" fieldPosition="0">
        <references count="2">
          <reference field="4294967294" count="1" selected="0">
            <x v="1"/>
          </reference>
          <reference field="2" count="1" selected="0">
            <x v="1"/>
          </reference>
        </references>
      </pivotArea>
    </chartFormat>
    <chartFormat chart="0" format="9">
      <pivotArea type="data" outline="0" fieldPosition="0">
        <references count="2">
          <reference field="4294967294" count="1" selected="0">
            <x v="1"/>
          </reference>
          <reference field="2" count="1" selected="0">
            <x v="2"/>
          </reference>
        </references>
      </pivotArea>
    </chartFormat>
    <chartFormat chart="0" format="10">
      <pivotArea type="data" outline="0" fieldPosition="0">
        <references count="2">
          <reference field="4294967294" count="1" selected="0">
            <x v="1"/>
          </reference>
          <reference field="2" count="1" selected="0">
            <x v="3"/>
          </reference>
        </references>
      </pivotArea>
    </chartFormat>
    <chartFormat chart="0" format="11">
      <pivotArea type="data" outline="0" fieldPosition="0">
        <references count="2">
          <reference field="4294967294" count="1" selected="0">
            <x v="2"/>
          </reference>
          <reference field="2" count="1" selected="0">
            <x v="0"/>
          </reference>
        </references>
      </pivotArea>
    </chartFormat>
    <chartFormat chart="0" format="12">
      <pivotArea type="data" outline="0" fieldPosition="0">
        <references count="2">
          <reference field="4294967294" count="1" selected="0">
            <x v="2"/>
          </reference>
          <reference field="2" count="1" selected="0">
            <x v="1"/>
          </reference>
        </references>
      </pivotArea>
    </chartFormat>
    <chartFormat chart="0" format="13">
      <pivotArea type="data" outline="0" fieldPosition="0">
        <references count="2">
          <reference field="4294967294" count="1" selected="0">
            <x v="2"/>
          </reference>
          <reference field="2" count="1" selected="0">
            <x v="2"/>
          </reference>
        </references>
      </pivotArea>
    </chartFormat>
    <chartFormat chart="0" format="14">
      <pivotArea type="data" outline="0" fieldPosition="0">
        <references count="2">
          <reference field="4294967294" count="1" selected="0">
            <x v="2"/>
          </reference>
          <reference field="2" count="1" selected="0">
            <x v="3"/>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2">
          <reference field="4294967294" count="1" selected="0">
            <x v="0"/>
          </reference>
          <reference field="2" count="1" selected="0">
            <x v="0"/>
          </reference>
        </references>
      </pivotArea>
    </chartFormat>
    <chartFormat chart="2" format="32">
      <pivotArea type="data" outline="0" fieldPosition="0">
        <references count="2">
          <reference field="4294967294" count="1" selected="0">
            <x v="0"/>
          </reference>
          <reference field="2" count="1" selected="0">
            <x v="1"/>
          </reference>
        </references>
      </pivotArea>
    </chartFormat>
    <chartFormat chart="2" format="33">
      <pivotArea type="data" outline="0" fieldPosition="0">
        <references count="2">
          <reference field="4294967294" count="1" selected="0">
            <x v="0"/>
          </reference>
          <reference field="2" count="1" selected="0">
            <x v="2"/>
          </reference>
        </references>
      </pivotArea>
    </chartFormat>
    <chartFormat chart="2" format="34">
      <pivotArea type="data" outline="0" fieldPosition="0">
        <references count="2">
          <reference field="4294967294" count="1" selected="0">
            <x v="0"/>
          </reference>
          <reference field="2" count="1" selected="0">
            <x v="3"/>
          </reference>
        </references>
      </pivotArea>
    </chartFormat>
    <chartFormat chart="2" format="35" series="1">
      <pivotArea type="data" outline="0" fieldPosition="0">
        <references count="1">
          <reference field="4294967294" count="1" selected="0">
            <x v="1"/>
          </reference>
        </references>
      </pivotArea>
    </chartFormat>
    <chartFormat chart="2" format="36">
      <pivotArea type="data" outline="0" fieldPosition="0">
        <references count="2">
          <reference field="4294967294" count="1" selected="0">
            <x v="1"/>
          </reference>
          <reference field="2" count="1" selected="0">
            <x v="0"/>
          </reference>
        </references>
      </pivotArea>
    </chartFormat>
    <chartFormat chart="2" format="37">
      <pivotArea type="data" outline="0" fieldPosition="0">
        <references count="2">
          <reference field="4294967294" count="1" selected="0">
            <x v="1"/>
          </reference>
          <reference field="2" count="1" selected="0">
            <x v="1"/>
          </reference>
        </references>
      </pivotArea>
    </chartFormat>
    <chartFormat chart="2" format="38">
      <pivotArea type="data" outline="0" fieldPosition="0">
        <references count="2">
          <reference field="4294967294" count="1" selected="0">
            <x v="1"/>
          </reference>
          <reference field="2" count="1" selected="0">
            <x v="2"/>
          </reference>
        </references>
      </pivotArea>
    </chartFormat>
    <chartFormat chart="2" format="39">
      <pivotArea type="data" outline="0" fieldPosition="0">
        <references count="2">
          <reference field="4294967294" count="1" selected="0">
            <x v="1"/>
          </reference>
          <reference field="2" count="1" selected="0">
            <x v="3"/>
          </reference>
        </references>
      </pivotArea>
    </chartFormat>
    <chartFormat chart="2" format="40" series="1">
      <pivotArea type="data" outline="0" fieldPosition="0">
        <references count="1">
          <reference field="4294967294" count="1" selected="0">
            <x v="2"/>
          </reference>
        </references>
      </pivotArea>
    </chartFormat>
    <chartFormat chart="2" format="41">
      <pivotArea type="data" outline="0" fieldPosition="0">
        <references count="2">
          <reference field="4294967294" count="1" selected="0">
            <x v="2"/>
          </reference>
          <reference field="2" count="1" selected="0">
            <x v="0"/>
          </reference>
        </references>
      </pivotArea>
    </chartFormat>
    <chartFormat chart="2" format="42">
      <pivotArea type="data" outline="0" fieldPosition="0">
        <references count="2">
          <reference field="4294967294" count="1" selected="0">
            <x v="2"/>
          </reference>
          <reference field="2" count="1" selected="0">
            <x v="1"/>
          </reference>
        </references>
      </pivotArea>
    </chartFormat>
    <chartFormat chart="2" format="43">
      <pivotArea type="data" outline="0" fieldPosition="0">
        <references count="2">
          <reference field="4294967294" count="1" selected="0">
            <x v="2"/>
          </reference>
          <reference field="2" count="1" selected="0">
            <x v="2"/>
          </reference>
        </references>
      </pivotArea>
    </chartFormat>
    <chartFormat chart="2" format="44">
      <pivotArea type="data" outline="0" fieldPosition="0">
        <references count="2">
          <reference field="4294967294" count="1" selected="0">
            <x v="2"/>
          </reference>
          <reference field="2" count="1" selected="0">
            <x v="3"/>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FA88C5-F7DA-474F-91A5-E872BF49A06E}"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3:B54" firstHeaderRow="1" firstDataRow="1" firstDataCol="1"/>
  <pivotFields count="25">
    <pivotField axis="axisRow" showAll="0">
      <items count="101">
        <item m="1" x="54"/>
        <item m="1" x="96"/>
        <item m="1" x="53"/>
        <item x="45"/>
        <item m="1" x="55"/>
        <item x="33"/>
        <item x="14"/>
        <item m="1" x="52"/>
        <item m="1" x="71"/>
        <item m="1" x="84"/>
        <item x="44"/>
        <item m="1" x="64"/>
        <item x="37"/>
        <item m="1" x="56"/>
        <item m="1" x="62"/>
        <item x="26"/>
        <item m="1" x="60"/>
        <item x="18"/>
        <item m="1" x="93"/>
        <item x="7"/>
        <item m="1" x="80"/>
        <item x="32"/>
        <item x="3"/>
        <item x="16"/>
        <item x="29"/>
        <item x="13"/>
        <item x="47"/>
        <item m="1" x="50"/>
        <item m="1" x="94"/>
        <item x="40"/>
        <item m="1" x="51"/>
        <item m="1" x="86"/>
        <item x="6"/>
        <item m="1" x="70"/>
        <item m="1" x="91"/>
        <item x="12"/>
        <item x="36"/>
        <item x="8"/>
        <item m="1" x="73"/>
        <item m="1" x="72"/>
        <item m="1" x="77"/>
        <item m="1" x="65"/>
        <item x="46"/>
        <item x="21"/>
        <item x="22"/>
        <item x="42"/>
        <item m="1" x="67"/>
        <item x="15"/>
        <item m="1" x="58"/>
        <item x="9"/>
        <item x="20"/>
        <item x="1"/>
        <item x="28"/>
        <item m="1" x="63"/>
        <item x="19"/>
        <item x="35"/>
        <item m="1" x="89"/>
        <item m="1" x="88"/>
        <item x="27"/>
        <item m="1" x="90"/>
        <item m="1" x="57"/>
        <item m="1" x="83"/>
        <item m="1" x="69"/>
        <item m="1" x="68"/>
        <item x="23"/>
        <item x="24"/>
        <item m="1" x="75"/>
        <item m="1" x="81"/>
        <item x="30"/>
        <item m="1" x="59"/>
        <item x="25"/>
        <item m="1" x="97"/>
        <item x="43"/>
        <item x="0"/>
        <item m="1" x="98"/>
        <item m="1" x="87"/>
        <item x="5"/>
        <item x="48"/>
        <item m="1" x="85"/>
        <item m="1" x="95"/>
        <item x="38"/>
        <item m="1" x="99"/>
        <item x="41"/>
        <item x="11"/>
        <item m="1" x="74"/>
        <item m="1" x="61"/>
        <item x="34"/>
        <item x="39"/>
        <item x="31"/>
        <item x="10"/>
        <item m="1" x="78"/>
        <item m="1" x="82"/>
        <item x="2"/>
        <item m="1" x="76"/>
        <item m="1" x="92"/>
        <item x="17"/>
        <item x="4"/>
        <item m="1" x="79"/>
        <item m="1" x="66"/>
        <item x="49"/>
        <item t="default"/>
      </items>
    </pivotField>
    <pivotField showAll="0">
      <items count="45">
        <item x="21"/>
        <item x="4"/>
        <item x="10"/>
        <item x="37"/>
        <item x="33"/>
        <item x="17"/>
        <item x="22"/>
        <item x="5"/>
        <item x="13"/>
        <item x="28"/>
        <item x="6"/>
        <item x="18"/>
        <item x="16"/>
        <item x="24"/>
        <item x="20"/>
        <item x="8"/>
        <item x="14"/>
        <item x="19"/>
        <item x="35"/>
        <item x="32"/>
        <item x="0"/>
        <item x="12"/>
        <item x="27"/>
        <item x="1"/>
        <item x="11"/>
        <item x="39"/>
        <item x="2"/>
        <item x="40"/>
        <item x="30"/>
        <item x="9"/>
        <item x="36"/>
        <item x="7"/>
        <item x="25"/>
        <item x="15"/>
        <item x="26"/>
        <item x="3"/>
        <item x="41"/>
        <item x="31"/>
        <item x="42"/>
        <item x="23"/>
        <item x="29"/>
        <item x="38"/>
        <item x="34"/>
        <item x="4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1">
    <i>
      <x v="3"/>
    </i>
    <i>
      <x v="5"/>
    </i>
    <i>
      <x v="6"/>
    </i>
    <i>
      <x v="10"/>
    </i>
    <i>
      <x v="12"/>
    </i>
    <i>
      <x v="15"/>
    </i>
    <i>
      <x v="17"/>
    </i>
    <i>
      <x v="19"/>
    </i>
    <i>
      <x v="21"/>
    </i>
    <i>
      <x v="22"/>
    </i>
    <i>
      <x v="23"/>
    </i>
    <i>
      <x v="24"/>
    </i>
    <i>
      <x v="25"/>
    </i>
    <i>
      <x v="26"/>
    </i>
    <i>
      <x v="29"/>
    </i>
    <i>
      <x v="32"/>
    </i>
    <i>
      <x v="35"/>
    </i>
    <i>
      <x v="36"/>
    </i>
    <i>
      <x v="37"/>
    </i>
    <i>
      <x v="42"/>
    </i>
    <i>
      <x v="43"/>
    </i>
    <i>
      <x v="44"/>
    </i>
    <i>
      <x v="45"/>
    </i>
    <i>
      <x v="47"/>
    </i>
    <i>
      <x v="49"/>
    </i>
    <i>
      <x v="50"/>
    </i>
    <i>
      <x v="51"/>
    </i>
    <i>
      <x v="52"/>
    </i>
    <i>
      <x v="54"/>
    </i>
    <i>
      <x v="55"/>
    </i>
    <i>
      <x v="58"/>
    </i>
    <i>
      <x v="64"/>
    </i>
    <i>
      <x v="65"/>
    </i>
    <i>
      <x v="68"/>
    </i>
    <i>
      <x v="70"/>
    </i>
    <i>
      <x v="72"/>
    </i>
    <i>
      <x v="73"/>
    </i>
    <i>
      <x v="76"/>
    </i>
    <i>
      <x v="77"/>
    </i>
    <i>
      <x v="80"/>
    </i>
    <i>
      <x v="82"/>
    </i>
    <i>
      <x v="83"/>
    </i>
    <i>
      <x v="86"/>
    </i>
    <i>
      <x v="87"/>
    </i>
    <i>
      <x v="88"/>
    </i>
    <i>
      <x v="89"/>
    </i>
    <i>
      <x v="92"/>
    </i>
    <i>
      <x v="95"/>
    </i>
    <i>
      <x v="96"/>
    </i>
    <i>
      <x v="99"/>
    </i>
    <i t="grand">
      <x/>
    </i>
  </rowItems>
  <colItems count="1">
    <i/>
  </colItems>
  <dataFields count="1">
    <dataField name="Sum of released_year" fld="3" baseField="0" baseItem="0"/>
  </dataFields>
  <chartFormats count="8">
    <chartFormat chart="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FCC52-C7B6-464D-9F0E-D1A8AB0329EE}"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5" firstHeaderRow="0" firstDataRow="1" firstDataCol="1"/>
  <pivotFields count="25">
    <pivotField axis="axisRow" showAll="0">
      <items count="50">
        <item h="1" x="45"/>
        <item h="1" x="33"/>
        <item x="14"/>
        <item h="1" x="44"/>
        <item h="1" x="37"/>
        <item h="1" x="26"/>
        <item h="1" x="18"/>
        <item h="1" x="7"/>
        <item h="1" x="32"/>
        <item h="1" x="3"/>
        <item h="1" x="16"/>
        <item h="1" x="29"/>
        <item h="1" x="13"/>
        <item h="1" x="47"/>
        <item h="1" x="40"/>
        <item h="1" x="6"/>
        <item h="1" x="12"/>
        <item h="1" x="36"/>
        <item h="1" x="8"/>
        <item h="1" x="46"/>
        <item h="1" x="21"/>
        <item h="1" x="22"/>
        <item h="1" x="42"/>
        <item h="1" x="15"/>
        <item h="1" x="9"/>
        <item h="1" x="20"/>
        <item h="1" x="1"/>
        <item h="1" x="28"/>
        <item h="1" x="19"/>
        <item h="1" x="35"/>
        <item h="1" x="27"/>
        <item h="1" x="23"/>
        <item h="1" x="24"/>
        <item h="1" x="30"/>
        <item h="1" x="25"/>
        <item h="1" x="43"/>
        <item h="1" x="0"/>
        <item h="1" x="5"/>
        <item h="1" x="48"/>
        <item h="1" x="38"/>
        <item h="1" x="41"/>
        <item h="1" x="11"/>
        <item h="1" x="34"/>
        <item h="1" x="39"/>
        <item h="1" x="31"/>
        <item h="1" x="10"/>
        <item h="1" x="2"/>
        <item h="1" x="17"/>
        <item h="1" x="4"/>
        <item t="default"/>
      </items>
    </pivotField>
    <pivotField showAll="0">
      <items count="44">
        <item x="21"/>
        <item x="4"/>
        <item x="10"/>
        <item x="37"/>
        <item x="33"/>
        <item x="17"/>
        <item x="22"/>
        <item x="5"/>
        <item x="13"/>
        <item x="28"/>
        <item x="6"/>
        <item x="18"/>
        <item x="16"/>
        <item x="24"/>
        <item x="20"/>
        <item x="8"/>
        <item x="14"/>
        <item x="19"/>
        <item x="35"/>
        <item x="32"/>
        <item x="0"/>
        <item x="12"/>
        <item x="27"/>
        <item x="1"/>
        <item x="11"/>
        <item x="39"/>
        <item x="2"/>
        <item x="40"/>
        <item x="30"/>
        <item x="9"/>
        <item x="36"/>
        <item x="7"/>
        <item x="25"/>
        <item x="15"/>
        <item x="26"/>
        <item x="3"/>
        <item x="41"/>
        <item x="31"/>
        <item x="42"/>
        <item x="23"/>
        <item x="29"/>
        <item x="38"/>
        <item x="34"/>
        <item t="default"/>
      </items>
    </pivotField>
    <pivotField showAll="0"/>
    <pivotField showAll="0"/>
    <pivotField dataField="1" showAll="0"/>
    <pivotField showAll="0"/>
    <pivotField showAll="0">
      <items count="50">
        <item x="25"/>
        <item h="1" x="31"/>
        <item h="1" x="20"/>
        <item h="1" x="11"/>
        <item h="1" x="21"/>
        <item h="1" x="0"/>
        <item h="1" x="39"/>
        <item h="1" x="19"/>
        <item h="1" x="36"/>
        <item h="1" x="40"/>
        <item h="1" x="7"/>
        <item h="1" x="27"/>
        <item h="1" x="30"/>
        <item h="1" x="17"/>
        <item h="1" x="8"/>
        <item h="1" x="44"/>
        <item h="1" x="35"/>
        <item h="1" x="23"/>
        <item h="1" x="2"/>
        <item h="1" x="1"/>
        <item h="1" x="24"/>
        <item h="1" x="5"/>
        <item h="1" x="28"/>
        <item h="1" x="47"/>
        <item h="1" x="18"/>
        <item h="1" x="10"/>
        <item h="1" x="16"/>
        <item h="1" x="9"/>
        <item h="1" x="29"/>
        <item h="1" x="6"/>
        <item h="1" x="4"/>
        <item h="1" x="45"/>
        <item h="1" x="13"/>
        <item h="1" x="34"/>
        <item h="1" x="32"/>
        <item h="1" x="26"/>
        <item h="1" x="38"/>
        <item h="1" x="3"/>
        <item h="1" x="15"/>
        <item h="1" x="46"/>
        <item h="1" x="33"/>
        <item h="1" x="37"/>
        <item h="1" x="12"/>
        <item h="1" x="42"/>
        <item h="1" x="22"/>
        <item h="1" x="43"/>
        <item h="1" x="14"/>
        <item h="1" x="41"/>
        <item h="1" x="4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2"/>
    </i>
    <i t="grand">
      <x/>
    </i>
  </rowItems>
  <colFields count="1">
    <field x="-2"/>
  </colFields>
  <colItems count="2">
    <i>
      <x/>
    </i>
    <i i="1">
      <x v="1"/>
    </i>
  </colItems>
  <dataFields count="2">
    <dataField name="Sum of released_month" fld="4" baseField="0" baseItem="0"/>
    <dataField name="Sum of streams" fld="8" baseField="0" baseItem="0"/>
  </dataFields>
  <chartFormats count="10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02" series="1">
      <pivotArea type="data" outline="0" fieldPosition="0">
        <references count="1">
          <reference field="4294967294" count="1" selected="0">
            <x v="0"/>
          </reference>
        </references>
      </pivotArea>
    </chartFormat>
    <chartFormat chart="3" format="103">
      <pivotArea type="data" outline="0" fieldPosition="0">
        <references count="2">
          <reference field="4294967294" count="1" selected="0">
            <x v="0"/>
          </reference>
          <reference field="0" count="1" selected="0">
            <x v="0"/>
          </reference>
        </references>
      </pivotArea>
    </chartFormat>
    <chartFormat chart="3" format="104">
      <pivotArea type="data" outline="0" fieldPosition="0">
        <references count="2">
          <reference field="4294967294" count="1" selected="0">
            <x v="0"/>
          </reference>
          <reference field="0" count="1" selected="0">
            <x v="1"/>
          </reference>
        </references>
      </pivotArea>
    </chartFormat>
    <chartFormat chart="3" format="105">
      <pivotArea type="data" outline="0" fieldPosition="0">
        <references count="2">
          <reference field="4294967294" count="1" selected="0">
            <x v="0"/>
          </reference>
          <reference field="0" count="1" selected="0">
            <x v="2"/>
          </reference>
        </references>
      </pivotArea>
    </chartFormat>
    <chartFormat chart="3" format="106">
      <pivotArea type="data" outline="0" fieldPosition="0">
        <references count="2">
          <reference field="4294967294" count="1" selected="0">
            <x v="0"/>
          </reference>
          <reference field="0" count="1" selected="0">
            <x v="3"/>
          </reference>
        </references>
      </pivotArea>
    </chartFormat>
    <chartFormat chart="3" format="107">
      <pivotArea type="data" outline="0" fieldPosition="0">
        <references count="2">
          <reference field="4294967294" count="1" selected="0">
            <x v="0"/>
          </reference>
          <reference field="0" count="1" selected="0">
            <x v="4"/>
          </reference>
        </references>
      </pivotArea>
    </chartFormat>
    <chartFormat chart="3" format="108">
      <pivotArea type="data" outline="0" fieldPosition="0">
        <references count="2">
          <reference field="4294967294" count="1" selected="0">
            <x v="0"/>
          </reference>
          <reference field="0" count="1" selected="0">
            <x v="5"/>
          </reference>
        </references>
      </pivotArea>
    </chartFormat>
    <chartFormat chart="3" format="109">
      <pivotArea type="data" outline="0" fieldPosition="0">
        <references count="2">
          <reference field="4294967294" count="1" selected="0">
            <x v="0"/>
          </reference>
          <reference field="0" count="1" selected="0">
            <x v="6"/>
          </reference>
        </references>
      </pivotArea>
    </chartFormat>
    <chartFormat chart="3" format="110">
      <pivotArea type="data" outline="0" fieldPosition="0">
        <references count="2">
          <reference field="4294967294" count="1" selected="0">
            <x v="0"/>
          </reference>
          <reference field="0" count="1" selected="0">
            <x v="7"/>
          </reference>
        </references>
      </pivotArea>
    </chartFormat>
    <chartFormat chart="3" format="111">
      <pivotArea type="data" outline="0" fieldPosition="0">
        <references count="2">
          <reference field="4294967294" count="1" selected="0">
            <x v="0"/>
          </reference>
          <reference field="0" count="1" selected="0">
            <x v="8"/>
          </reference>
        </references>
      </pivotArea>
    </chartFormat>
    <chartFormat chart="3" format="112">
      <pivotArea type="data" outline="0" fieldPosition="0">
        <references count="2">
          <reference field="4294967294" count="1" selected="0">
            <x v="0"/>
          </reference>
          <reference field="0" count="1" selected="0">
            <x v="9"/>
          </reference>
        </references>
      </pivotArea>
    </chartFormat>
    <chartFormat chart="3" format="113">
      <pivotArea type="data" outline="0" fieldPosition="0">
        <references count="2">
          <reference field="4294967294" count="1" selected="0">
            <x v="0"/>
          </reference>
          <reference field="0" count="1" selected="0">
            <x v="10"/>
          </reference>
        </references>
      </pivotArea>
    </chartFormat>
    <chartFormat chart="3" format="114">
      <pivotArea type="data" outline="0" fieldPosition="0">
        <references count="2">
          <reference field="4294967294" count="1" selected="0">
            <x v="0"/>
          </reference>
          <reference field="0" count="1" selected="0">
            <x v="11"/>
          </reference>
        </references>
      </pivotArea>
    </chartFormat>
    <chartFormat chart="3" format="115">
      <pivotArea type="data" outline="0" fieldPosition="0">
        <references count="2">
          <reference field="4294967294" count="1" selected="0">
            <x v="0"/>
          </reference>
          <reference field="0" count="1" selected="0">
            <x v="12"/>
          </reference>
        </references>
      </pivotArea>
    </chartFormat>
    <chartFormat chart="3" format="116">
      <pivotArea type="data" outline="0" fieldPosition="0">
        <references count="2">
          <reference field="4294967294" count="1" selected="0">
            <x v="0"/>
          </reference>
          <reference field="0" count="1" selected="0">
            <x v="13"/>
          </reference>
        </references>
      </pivotArea>
    </chartFormat>
    <chartFormat chart="3" format="117">
      <pivotArea type="data" outline="0" fieldPosition="0">
        <references count="2">
          <reference field="4294967294" count="1" selected="0">
            <x v="0"/>
          </reference>
          <reference field="0" count="1" selected="0">
            <x v="14"/>
          </reference>
        </references>
      </pivotArea>
    </chartFormat>
    <chartFormat chart="3" format="118">
      <pivotArea type="data" outline="0" fieldPosition="0">
        <references count="2">
          <reference field="4294967294" count="1" selected="0">
            <x v="0"/>
          </reference>
          <reference field="0" count="1" selected="0">
            <x v="15"/>
          </reference>
        </references>
      </pivotArea>
    </chartFormat>
    <chartFormat chart="3" format="119">
      <pivotArea type="data" outline="0" fieldPosition="0">
        <references count="2">
          <reference field="4294967294" count="1" selected="0">
            <x v="0"/>
          </reference>
          <reference field="0" count="1" selected="0">
            <x v="16"/>
          </reference>
        </references>
      </pivotArea>
    </chartFormat>
    <chartFormat chart="3" format="120">
      <pivotArea type="data" outline="0" fieldPosition="0">
        <references count="2">
          <reference field="4294967294" count="1" selected="0">
            <x v="0"/>
          </reference>
          <reference field="0" count="1" selected="0">
            <x v="17"/>
          </reference>
        </references>
      </pivotArea>
    </chartFormat>
    <chartFormat chart="3" format="121">
      <pivotArea type="data" outline="0" fieldPosition="0">
        <references count="2">
          <reference field="4294967294" count="1" selected="0">
            <x v="0"/>
          </reference>
          <reference field="0" count="1" selected="0">
            <x v="18"/>
          </reference>
        </references>
      </pivotArea>
    </chartFormat>
    <chartFormat chart="3" format="122">
      <pivotArea type="data" outline="0" fieldPosition="0">
        <references count="2">
          <reference field="4294967294" count="1" selected="0">
            <x v="0"/>
          </reference>
          <reference field="0" count="1" selected="0">
            <x v="19"/>
          </reference>
        </references>
      </pivotArea>
    </chartFormat>
    <chartFormat chart="3" format="123">
      <pivotArea type="data" outline="0" fieldPosition="0">
        <references count="2">
          <reference field="4294967294" count="1" selected="0">
            <x v="0"/>
          </reference>
          <reference field="0" count="1" selected="0">
            <x v="20"/>
          </reference>
        </references>
      </pivotArea>
    </chartFormat>
    <chartFormat chart="3" format="124">
      <pivotArea type="data" outline="0" fieldPosition="0">
        <references count="2">
          <reference field="4294967294" count="1" selected="0">
            <x v="0"/>
          </reference>
          <reference field="0" count="1" selected="0">
            <x v="21"/>
          </reference>
        </references>
      </pivotArea>
    </chartFormat>
    <chartFormat chart="3" format="125">
      <pivotArea type="data" outline="0" fieldPosition="0">
        <references count="2">
          <reference field="4294967294" count="1" selected="0">
            <x v="0"/>
          </reference>
          <reference field="0" count="1" selected="0">
            <x v="22"/>
          </reference>
        </references>
      </pivotArea>
    </chartFormat>
    <chartFormat chart="3" format="126">
      <pivotArea type="data" outline="0" fieldPosition="0">
        <references count="2">
          <reference field="4294967294" count="1" selected="0">
            <x v="0"/>
          </reference>
          <reference field="0" count="1" selected="0">
            <x v="23"/>
          </reference>
        </references>
      </pivotArea>
    </chartFormat>
    <chartFormat chart="3" format="127">
      <pivotArea type="data" outline="0" fieldPosition="0">
        <references count="2">
          <reference field="4294967294" count="1" selected="0">
            <x v="0"/>
          </reference>
          <reference field="0" count="1" selected="0">
            <x v="24"/>
          </reference>
        </references>
      </pivotArea>
    </chartFormat>
    <chartFormat chart="3" format="128">
      <pivotArea type="data" outline="0" fieldPosition="0">
        <references count="2">
          <reference field="4294967294" count="1" selected="0">
            <x v="0"/>
          </reference>
          <reference field="0" count="1" selected="0">
            <x v="25"/>
          </reference>
        </references>
      </pivotArea>
    </chartFormat>
    <chartFormat chart="3" format="129">
      <pivotArea type="data" outline="0" fieldPosition="0">
        <references count="2">
          <reference field="4294967294" count="1" selected="0">
            <x v="0"/>
          </reference>
          <reference field="0" count="1" selected="0">
            <x v="26"/>
          </reference>
        </references>
      </pivotArea>
    </chartFormat>
    <chartFormat chart="3" format="130">
      <pivotArea type="data" outline="0" fieldPosition="0">
        <references count="2">
          <reference field="4294967294" count="1" selected="0">
            <x v="0"/>
          </reference>
          <reference field="0" count="1" selected="0">
            <x v="27"/>
          </reference>
        </references>
      </pivotArea>
    </chartFormat>
    <chartFormat chart="3" format="131">
      <pivotArea type="data" outline="0" fieldPosition="0">
        <references count="2">
          <reference field="4294967294" count="1" selected="0">
            <x v="0"/>
          </reference>
          <reference field="0" count="1" selected="0">
            <x v="28"/>
          </reference>
        </references>
      </pivotArea>
    </chartFormat>
    <chartFormat chart="3" format="132">
      <pivotArea type="data" outline="0" fieldPosition="0">
        <references count="2">
          <reference field="4294967294" count="1" selected="0">
            <x v="0"/>
          </reference>
          <reference field="0" count="1" selected="0">
            <x v="29"/>
          </reference>
        </references>
      </pivotArea>
    </chartFormat>
    <chartFormat chart="3" format="133">
      <pivotArea type="data" outline="0" fieldPosition="0">
        <references count="2">
          <reference field="4294967294" count="1" selected="0">
            <x v="0"/>
          </reference>
          <reference field="0" count="1" selected="0">
            <x v="30"/>
          </reference>
        </references>
      </pivotArea>
    </chartFormat>
    <chartFormat chart="3" format="134">
      <pivotArea type="data" outline="0" fieldPosition="0">
        <references count="2">
          <reference field="4294967294" count="1" selected="0">
            <x v="0"/>
          </reference>
          <reference field="0" count="1" selected="0">
            <x v="31"/>
          </reference>
        </references>
      </pivotArea>
    </chartFormat>
    <chartFormat chart="3" format="135">
      <pivotArea type="data" outline="0" fieldPosition="0">
        <references count="2">
          <reference field="4294967294" count="1" selected="0">
            <x v="0"/>
          </reference>
          <reference field="0" count="1" selected="0">
            <x v="32"/>
          </reference>
        </references>
      </pivotArea>
    </chartFormat>
    <chartFormat chart="3" format="136">
      <pivotArea type="data" outline="0" fieldPosition="0">
        <references count="2">
          <reference field="4294967294" count="1" selected="0">
            <x v="0"/>
          </reference>
          <reference field="0" count="1" selected="0">
            <x v="33"/>
          </reference>
        </references>
      </pivotArea>
    </chartFormat>
    <chartFormat chart="3" format="137">
      <pivotArea type="data" outline="0" fieldPosition="0">
        <references count="2">
          <reference field="4294967294" count="1" selected="0">
            <x v="0"/>
          </reference>
          <reference field="0" count="1" selected="0">
            <x v="34"/>
          </reference>
        </references>
      </pivotArea>
    </chartFormat>
    <chartFormat chart="3" format="138">
      <pivotArea type="data" outline="0" fieldPosition="0">
        <references count="2">
          <reference field="4294967294" count="1" selected="0">
            <x v="0"/>
          </reference>
          <reference field="0" count="1" selected="0">
            <x v="35"/>
          </reference>
        </references>
      </pivotArea>
    </chartFormat>
    <chartFormat chart="3" format="139">
      <pivotArea type="data" outline="0" fieldPosition="0">
        <references count="2">
          <reference field="4294967294" count="1" selected="0">
            <x v="0"/>
          </reference>
          <reference field="0" count="1" selected="0">
            <x v="36"/>
          </reference>
        </references>
      </pivotArea>
    </chartFormat>
    <chartFormat chart="3" format="140">
      <pivotArea type="data" outline="0" fieldPosition="0">
        <references count="2">
          <reference field="4294967294" count="1" selected="0">
            <x v="0"/>
          </reference>
          <reference field="0" count="1" selected="0">
            <x v="37"/>
          </reference>
        </references>
      </pivotArea>
    </chartFormat>
    <chartFormat chart="3" format="141">
      <pivotArea type="data" outline="0" fieldPosition="0">
        <references count="2">
          <reference field="4294967294" count="1" selected="0">
            <x v="0"/>
          </reference>
          <reference field="0" count="1" selected="0">
            <x v="38"/>
          </reference>
        </references>
      </pivotArea>
    </chartFormat>
    <chartFormat chart="3" format="142">
      <pivotArea type="data" outline="0" fieldPosition="0">
        <references count="2">
          <reference field="4294967294" count="1" selected="0">
            <x v="0"/>
          </reference>
          <reference field="0" count="1" selected="0">
            <x v="39"/>
          </reference>
        </references>
      </pivotArea>
    </chartFormat>
    <chartFormat chart="3" format="143">
      <pivotArea type="data" outline="0" fieldPosition="0">
        <references count="2">
          <reference field="4294967294" count="1" selected="0">
            <x v="0"/>
          </reference>
          <reference field="0" count="1" selected="0">
            <x v="40"/>
          </reference>
        </references>
      </pivotArea>
    </chartFormat>
    <chartFormat chart="3" format="144">
      <pivotArea type="data" outline="0" fieldPosition="0">
        <references count="2">
          <reference field="4294967294" count="1" selected="0">
            <x v="0"/>
          </reference>
          <reference field="0" count="1" selected="0">
            <x v="41"/>
          </reference>
        </references>
      </pivotArea>
    </chartFormat>
    <chartFormat chart="3" format="145">
      <pivotArea type="data" outline="0" fieldPosition="0">
        <references count="2">
          <reference field="4294967294" count="1" selected="0">
            <x v="0"/>
          </reference>
          <reference field="0" count="1" selected="0">
            <x v="42"/>
          </reference>
        </references>
      </pivotArea>
    </chartFormat>
    <chartFormat chart="3" format="146">
      <pivotArea type="data" outline="0" fieldPosition="0">
        <references count="2">
          <reference field="4294967294" count="1" selected="0">
            <x v="0"/>
          </reference>
          <reference field="0" count="1" selected="0">
            <x v="43"/>
          </reference>
        </references>
      </pivotArea>
    </chartFormat>
    <chartFormat chart="3" format="147">
      <pivotArea type="data" outline="0" fieldPosition="0">
        <references count="2">
          <reference field="4294967294" count="1" selected="0">
            <x v="0"/>
          </reference>
          <reference field="0" count="1" selected="0">
            <x v="44"/>
          </reference>
        </references>
      </pivotArea>
    </chartFormat>
    <chartFormat chart="3" format="148">
      <pivotArea type="data" outline="0" fieldPosition="0">
        <references count="2">
          <reference field="4294967294" count="1" selected="0">
            <x v="0"/>
          </reference>
          <reference field="0" count="1" selected="0">
            <x v="45"/>
          </reference>
        </references>
      </pivotArea>
    </chartFormat>
    <chartFormat chart="3" format="149">
      <pivotArea type="data" outline="0" fieldPosition="0">
        <references count="2">
          <reference field="4294967294" count="1" selected="0">
            <x v="0"/>
          </reference>
          <reference field="0" count="1" selected="0">
            <x v="46"/>
          </reference>
        </references>
      </pivotArea>
    </chartFormat>
    <chartFormat chart="3" format="150">
      <pivotArea type="data" outline="0" fieldPosition="0">
        <references count="2">
          <reference field="4294967294" count="1" selected="0">
            <x v="0"/>
          </reference>
          <reference field="0" count="1" selected="0">
            <x v="47"/>
          </reference>
        </references>
      </pivotArea>
    </chartFormat>
    <chartFormat chart="3" format="151">
      <pivotArea type="data" outline="0" fieldPosition="0">
        <references count="2">
          <reference field="4294967294" count="1" selected="0">
            <x v="0"/>
          </reference>
          <reference field="0" count="1" selected="0">
            <x v="48"/>
          </reference>
        </references>
      </pivotArea>
    </chartFormat>
    <chartFormat chart="3" format="152" series="1">
      <pivotArea type="data" outline="0" fieldPosition="0">
        <references count="1">
          <reference field="4294967294" count="1" selected="0">
            <x v="1"/>
          </reference>
        </references>
      </pivotArea>
    </chartFormat>
    <chartFormat chart="3" format="153">
      <pivotArea type="data" outline="0" fieldPosition="0">
        <references count="2">
          <reference field="4294967294" count="1" selected="0">
            <x v="1"/>
          </reference>
          <reference field="0" count="1" selected="0">
            <x v="0"/>
          </reference>
        </references>
      </pivotArea>
    </chartFormat>
    <chartFormat chart="3" format="154">
      <pivotArea type="data" outline="0" fieldPosition="0">
        <references count="2">
          <reference field="4294967294" count="1" selected="0">
            <x v="1"/>
          </reference>
          <reference field="0" count="1" selected="0">
            <x v="1"/>
          </reference>
        </references>
      </pivotArea>
    </chartFormat>
    <chartFormat chart="3" format="155">
      <pivotArea type="data" outline="0" fieldPosition="0">
        <references count="2">
          <reference field="4294967294" count="1" selected="0">
            <x v="1"/>
          </reference>
          <reference field="0" count="1" selected="0">
            <x v="2"/>
          </reference>
        </references>
      </pivotArea>
    </chartFormat>
    <chartFormat chart="3" format="156">
      <pivotArea type="data" outline="0" fieldPosition="0">
        <references count="2">
          <reference field="4294967294" count="1" selected="0">
            <x v="1"/>
          </reference>
          <reference field="0" count="1" selected="0">
            <x v="3"/>
          </reference>
        </references>
      </pivotArea>
    </chartFormat>
    <chartFormat chart="3" format="157">
      <pivotArea type="data" outline="0" fieldPosition="0">
        <references count="2">
          <reference field="4294967294" count="1" selected="0">
            <x v="1"/>
          </reference>
          <reference field="0" count="1" selected="0">
            <x v="4"/>
          </reference>
        </references>
      </pivotArea>
    </chartFormat>
    <chartFormat chart="3" format="158">
      <pivotArea type="data" outline="0" fieldPosition="0">
        <references count="2">
          <reference field="4294967294" count="1" selected="0">
            <x v="1"/>
          </reference>
          <reference field="0" count="1" selected="0">
            <x v="5"/>
          </reference>
        </references>
      </pivotArea>
    </chartFormat>
    <chartFormat chart="3" format="159">
      <pivotArea type="data" outline="0" fieldPosition="0">
        <references count="2">
          <reference field="4294967294" count="1" selected="0">
            <x v="1"/>
          </reference>
          <reference field="0" count="1" selected="0">
            <x v="6"/>
          </reference>
        </references>
      </pivotArea>
    </chartFormat>
    <chartFormat chart="3" format="160">
      <pivotArea type="data" outline="0" fieldPosition="0">
        <references count="2">
          <reference field="4294967294" count="1" selected="0">
            <x v="1"/>
          </reference>
          <reference field="0" count="1" selected="0">
            <x v="7"/>
          </reference>
        </references>
      </pivotArea>
    </chartFormat>
    <chartFormat chart="3" format="161">
      <pivotArea type="data" outline="0" fieldPosition="0">
        <references count="2">
          <reference field="4294967294" count="1" selected="0">
            <x v="1"/>
          </reference>
          <reference field="0" count="1" selected="0">
            <x v="8"/>
          </reference>
        </references>
      </pivotArea>
    </chartFormat>
    <chartFormat chart="3" format="162">
      <pivotArea type="data" outline="0" fieldPosition="0">
        <references count="2">
          <reference field="4294967294" count="1" selected="0">
            <x v="1"/>
          </reference>
          <reference field="0" count="1" selected="0">
            <x v="9"/>
          </reference>
        </references>
      </pivotArea>
    </chartFormat>
    <chartFormat chart="3" format="163">
      <pivotArea type="data" outline="0" fieldPosition="0">
        <references count="2">
          <reference field="4294967294" count="1" selected="0">
            <x v="1"/>
          </reference>
          <reference field="0" count="1" selected="0">
            <x v="10"/>
          </reference>
        </references>
      </pivotArea>
    </chartFormat>
    <chartFormat chart="3" format="164">
      <pivotArea type="data" outline="0" fieldPosition="0">
        <references count="2">
          <reference field="4294967294" count="1" selected="0">
            <x v="1"/>
          </reference>
          <reference field="0" count="1" selected="0">
            <x v="11"/>
          </reference>
        </references>
      </pivotArea>
    </chartFormat>
    <chartFormat chart="3" format="165">
      <pivotArea type="data" outline="0" fieldPosition="0">
        <references count="2">
          <reference field="4294967294" count="1" selected="0">
            <x v="1"/>
          </reference>
          <reference field="0" count="1" selected="0">
            <x v="12"/>
          </reference>
        </references>
      </pivotArea>
    </chartFormat>
    <chartFormat chart="3" format="166">
      <pivotArea type="data" outline="0" fieldPosition="0">
        <references count="2">
          <reference field="4294967294" count="1" selected="0">
            <x v="1"/>
          </reference>
          <reference field="0" count="1" selected="0">
            <x v="13"/>
          </reference>
        </references>
      </pivotArea>
    </chartFormat>
    <chartFormat chart="3" format="167">
      <pivotArea type="data" outline="0" fieldPosition="0">
        <references count="2">
          <reference field="4294967294" count="1" selected="0">
            <x v="1"/>
          </reference>
          <reference field="0" count="1" selected="0">
            <x v="14"/>
          </reference>
        </references>
      </pivotArea>
    </chartFormat>
    <chartFormat chart="3" format="168">
      <pivotArea type="data" outline="0" fieldPosition="0">
        <references count="2">
          <reference field="4294967294" count="1" selected="0">
            <x v="1"/>
          </reference>
          <reference field="0" count="1" selected="0">
            <x v="15"/>
          </reference>
        </references>
      </pivotArea>
    </chartFormat>
    <chartFormat chart="3" format="169">
      <pivotArea type="data" outline="0" fieldPosition="0">
        <references count="2">
          <reference field="4294967294" count="1" selected="0">
            <x v="1"/>
          </reference>
          <reference field="0" count="1" selected="0">
            <x v="16"/>
          </reference>
        </references>
      </pivotArea>
    </chartFormat>
    <chartFormat chart="3" format="170">
      <pivotArea type="data" outline="0" fieldPosition="0">
        <references count="2">
          <reference field="4294967294" count="1" selected="0">
            <x v="1"/>
          </reference>
          <reference field="0" count="1" selected="0">
            <x v="17"/>
          </reference>
        </references>
      </pivotArea>
    </chartFormat>
    <chartFormat chart="3" format="171">
      <pivotArea type="data" outline="0" fieldPosition="0">
        <references count="2">
          <reference field="4294967294" count="1" selected="0">
            <x v="1"/>
          </reference>
          <reference field="0" count="1" selected="0">
            <x v="18"/>
          </reference>
        </references>
      </pivotArea>
    </chartFormat>
    <chartFormat chart="3" format="172">
      <pivotArea type="data" outline="0" fieldPosition="0">
        <references count="2">
          <reference field="4294967294" count="1" selected="0">
            <x v="1"/>
          </reference>
          <reference field="0" count="1" selected="0">
            <x v="19"/>
          </reference>
        </references>
      </pivotArea>
    </chartFormat>
    <chartFormat chart="3" format="173">
      <pivotArea type="data" outline="0" fieldPosition="0">
        <references count="2">
          <reference field="4294967294" count="1" selected="0">
            <x v="1"/>
          </reference>
          <reference field="0" count="1" selected="0">
            <x v="20"/>
          </reference>
        </references>
      </pivotArea>
    </chartFormat>
    <chartFormat chart="3" format="174">
      <pivotArea type="data" outline="0" fieldPosition="0">
        <references count="2">
          <reference field="4294967294" count="1" selected="0">
            <x v="1"/>
          </reference>
          <reference field="0" count="1" selected="0">
            <x v="21"/>
          </reference>
        </references>
      </pivotArea>
    </chartFormat>
    <chartFormat chart="3" format="175">
      <pivotArea type="data" outline="0" fieldPosition="0">
        <references count="2">
          <reference field="4294967294" count="1" selected="0">
            <x v="1"/>
          </reference>
          <reference field="0" count="1" selected="0">
            <x v="22"/>
          </reference>
        </references>
      </pivotArea>
    </chartFormat>
    <chartFormat chart="3" format="176">
      <pivotArea type="data" outline="0" fieldPosition="0">
        <references count="2">
          <reference field="4294967294" count="1" selected="0">
            <x v="1"/>
          </reference>
          <reference field="0" count="1" selected="0">
            <x v="23"/>
          </reference>
        </references>
      </pivotArea>
    </chartFormat>
    <chartFormat chart="3" format="177">
      <pivotArea type="data" outline="0" fieldPosition="0">
        <references count="2">
          <reference field="4294967294" count="1" selected="0">
            <x v="1"/>
          </reference>
          <reference field="0" count="1" selected="0">
            <x v="24"/>
          </reference>
        </references>
      </pivotArea>
    </chartFormat>
    <chartFormat chart="3" format="178">
      <pivotArea type="data" outline="0" fieldPosition="0">
        <references count="2">
          <reference field="4294967294" count="1" selected="0">
            <x v="1"/>
          </reference>
          <reference field="0" count="1" selected="0">
            <x v="25"/>
          </reference>
        </references>
      </pivotArea>
    </chartFormat>
    <chartFormat chart="3" format="179">
      <pivotArea type="data" outline="0" fieldPosition="0">
        <references count="2">
          <reference field="4294967294" count="1" selected="0">
            <x v="1"/>
          </reference>
          <reference field="0" count="1" selected="0">
            <x v="26"/>
          </reference>
        </references>
      </pivotArea>
    </chartFormat>
    <chartFormat chart="3" format="180">
      <pivotArea type="data" outline="0" fieldPosition="0">
        <references count="2">
          <reference field="4294967294" count="1" selected="0">
            <x v="1"/>
          </reference>
          <reference field="0" count="1" selected="0">
            <x v="27"/>
          </reference>
        </references>
      </pivotArea>
    </chartFormat>
    <chartFormat chart="3" format="181">
      <pivotArea type="data" outline="0" fieldPosition="0">
        <references count="2">
          <reference field="4294967294" count="1" selected="0">
            <x v="1"/>
          </reference>
          <reference field="0" count="1" selected="0">
            <x v="28"/>
          </reference>
        </references>
      </pivotArea>
    </chartFormat>
    <chartFormat chart="3" format="182">
      <pivotArea type="data" outline="0" fieldPosition="0">
        <references count="2">
          <reference field="4294967294" count="1" selected="0">
            <x v="1"/>
          </reference>
          <reference field="0" count="1" selected="0">
            <x v="29"/>
          </reference>
        </references>
      </pivotArea>
    </chartFormat>
    <chartFormat chart="3" format="183">
      <pivotArea type="data" outline="0" fieldPosition="0">
        <references count="2">
          <reference field="4294967294" count="1" selected="0">
            <x v="1"/>
          </reference>
          <reference field="0" count="1" selected="0">
            <x v="30"/>
          </reference>
        </references>
      </pivotArea>
    </chartFormat>
    <chartFormat chart="3" format="184">
      <pivotArea type="data" outline="0" fieldPosition="0">
        <references count="2">
          <reference field="4294967294" count="1" selected="0">
            <x v="1"/>
          </reference>
          <reference field="0" count="1" selected="0">
            <x v="31"/>
          </reference>
        </references>
      </pivotArea>
    </chartFormat>
    <chartFormat chart="3" format="185">
      <pivotArea type="data" outline="0" fieldPosition="0">
        <references count="2">
          <reference field="4294967294" count="1" selected="0">
            <x v="1"/>
          </reference>
          <reference field="0" count="1" selected="0">
            <x v="32"/>
          </reference>
        </references>
      </pivotArea>
    </chartFormat>
    <chartFormat chart="3" format="186">
      <pivotArea type="data" outline="0" fieldPosition="0">
        <references count="2">
          <reference field="4294967294" count="1" selected="0">
            <x v="1"/>
          </reference>
          <reference field="0" count="1" selected="0">
            <x v="33"/>
          </reference>
        </references>
      </pivotArea>
    </chartFormat>
    <chartFormat chart="3" format="187">
      <pivotArea type="data" outline="0" fieldPosition="0">
        <references count="2">
          <reference field="4294967294" count="1" selected="0">
            <x v="1"/>
          </reference>
          <reference field="0" count="1" selected="0">
            <x v="34"/>
          </reference>
        </references>
      </pivotArea>
    </chartFormat>
    <chartFormat chart="3" format="188">
      <pivotArea type="data" outline="0" fieldPosition="0">
        <references count="2">
          <reference field="4294967294" count="1" selected="0">
            <x v="1"/>
          </reference>
          <reference field="0" count="1" selected="0">
            <x v="35"/>
          </reference>
        </references>
      </pivotArea>
    </chartFormat>
    <chartFormat chart="3" format="189">
      <pivotArea type="data" outline="0" fieldPosition="0">
        <references count="2">
          <reference field="4294967294" count="1" selected="0">
            <x v="1"/>
          </reference>
          <reference field="0" count="1" selected="0">
            <x v="36"/>
          </reference>
        </references>
      </pivotArea>
    </chartFormat>
    <chartFormat chart="3" format="190">
      <pivotArea type="data" outline="0" fieldPosition="0">
        <references count="2">
          <reference field="4294967294" count="1" selected="0">
            <x v="1"/>
          </reference>
          <reference field="0" count="1" selected="0">
            <x v="37"/>
          </reference>
        </references>
      </pivotArea>
    </chartFormat>
    <chartFormat chart="3" format="191">
      <pivotArea type="data" outline="0" fieldPosition="0">
        <references count="2">
          <reference field="4294967294" count="1" selected="0">
            <x v="1"/>
          </reference>
          <reference field="0" count="1" selected="0">
            <x v="38"/>
          </reference>
        </references>
      </pivotArea>
    </chartFormat>
    <chartFormat chart="3" format="192">
      <pivotArea type="data" outline="0" fieldPosition="0">
        <references count="2">
          <reference field="4294967294" count="1" selected="0">
            <x v="1"/>
          </reference>
          <reference field="0" count="1" selected="0">
            <x v="39"/>
          </reference>
        </references>
      </pivotArea>
    </chartFormat>
    <chartFormat chart="3" format="193">
      <pivotArea type="data" outline="0" fieldPosition="0">
        <references count="2">
          <reference field="4294967294" count="1" selected="0">
            <x v="1"/>
          </reference>
          <reference field="0" count="1" selected="0">
            <x v="40"/>
          </reference>
        </references>
      </pivotArea>
    </chartFormat>
    <chartFormat chart="3" format="194">
      <pivotArea type="data" outline="0" fieldPosition="0">
        <references count="2">
          <reference field="4294967294" count="1" selected="0">
            <x v="1"/>
          </reference>
          <reference field="0" count="1" selected="0">
            <x v="41"/>
          </reference>
        </references>
      </pivotArea>
    </chartFormat>
    <chartFormat chart="3" format="195">
      <pivotArea type="data" outline="0" fieldPosition="0">
        <references count="2">
          <reference field="4294967294" count="1" selected="0">
            <x v="1"/>
          </reference>
          <reference field="0" count="1" selected="0">
            <x v="42"/>
          </reference>
        </references>
      </pivotArea>
    </chartFormat>
    <chartFormat chart="3" format="196">
      <pivotArea type="data" outline="0" fieldPosition="0">
        <references count="2">
          <reference field="4294967294" count="1" selected="0">
            <x v="1"/>
          </reference>
          <reference field="0" count="1" selected="0">
            <x v="43"/>
          </reference>
        </references>
      </pivotArea>
    </chartFormat>
    <chartFormat chart="3" format="197">
      <pivotArea type="data" outline="0" fieldPosition="0">
        <references count="2">
          <reference field="4294967294" count="1" selected="0">
            <x v="1"/>
          </reference>
          <reference field="0" count="1" selected="0">
            <x v="44"/>
          </reference>
        </references>
      </pivotArea>
    </chartFormat>
    <chartFormat chart="3" format="198">
      <pivotArea type="data" outline="0" fieldPosition="0">
        <references count="2">
          <reference field="4294967294" count="1" selected="0">
            <x v="1"/>
          </reference>
          <reference field="0" count="1" selected="0">
            <x v="45"/>
          </reference>
        </references>
      </pivotArea>
    </chartFormat>
    <chartFormat chart="3" format="199">
      <pivotArea type="data" outline="0" fieldPosition="0">
        <references count="2">
          <reference field="4294967294" count="1" selected="0">
            <x v="1"/>
          </reference>
          <reference field="0" count="1" selected="0">
            <x v="46"/>
          </reference>
        </references>
      </pivotArea>
    </chartFormat>
    <chartFormat chart="3" format="200">
      <pivotArea type="data" outline="0" fieldPosition="0">
        <references count="2">
          <reference field="4294967294" count="1" selected="0">
            <x v="1"/>
          </reference>
          <reference field="0" count="1" selected="0">
            <x v="47"/>
          </reference>
        </references>
      </pivotArea>
    </chartFormat>
    <chartFormat chart="3" format="201">
      <pivotArea type="data" outline="0" fieldPosition="0">
        <references count="2">
          <reference field="4294967294" count="1" selected="0">
            <x v="1"/>
          </reference>
          <reference field="0" count="1" selected="0">
            <x v="48"/>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1"/>
          </reference>
          <reference field="0"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27019F-83A0-440D-BE81-41E40ECBEF2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G4" firstHeaderRow="0" firstDataRow="1" firstDataCol="0"/>
  <pivotFields count="25">
    <pivotField showAll="0"/>
    <pivotField showAll="0"/>
    <pivotField showAll="0"/>
    <pivotField dataField="1" showAll="0"/>
    <pivotField showAll="0"/>
    <pivotField showAll="0"/>
    <pivotField dataField="1" showAll="0">
      <items count="50">
        <item x="25"/>
        <item x="31"/>
        <item x="20"/>
        <item x="11"/>
        <item x="21"/>
        <item x="0"/>
        <item x="39"/>
        <item x="19"/>
        <item x="36"/>
        <item x="40"/>
        <item x="7"/>
        <item x="27"/>
        <item x="30"/>
        <item x="17"/>
        <item x="8"/>
        <item x="44"/>
        <item x="35"/>
        <item x="23"/>
        <item x="2"/>
        <item x="1"/>
        <item x="24"/>
        <item x="5"/>
        <item x="28"/>
        <item x="47"/>
        <item x="18"/>
        <item x="10"/>
        <item x="16"/>
        <item x="9"/>
        <item x="29"/>
        <item x="6"/>
        <item x="4"/>
        <item x="45"/>
        <item x="13"/>
        <item x="34"/>
        <item x="32"/>
        <item x="26"/>
        <item x="38"/>
        <item x="3"/>
        <item x="15"/>
        <item x="46"/>
        <item x="33"/>
        <item x="37"/>
        <item x="12"/>
        <item x="42"/>
        <item x="22"/>
        <item x="43"/>
        <item x="14"/>
        <item x="41"/>
        <item x="48"/>
        <item t="default"/>
      </items>
    </pivotField>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Sum of in_spotify_playlists" fld="6" baseField="0" baseItem="0"/>
    <dataField name="Sum of in_apple_playlists" fld="9" baseField="0" baseItem="0"/>
    <dataField name="Sum of in_deezer_playlists" fld="11" baseField="0" baseItem="0"/>
    <dataField name="Sum of in_apple_charts" fld="10" baseField="0" baseItem="0"/>
    <dataField name="Sum of in_deezer_charts" fld="12" baseField="0" baseItem="0"/>
    <dataField name="Sum of in_spotify_charts" fld="7" baseField="0" baseItem="0"/>
    <dataField name="Sum of released_year" fld="3" baseField="0" baseItem="0"/>
  </dataFields>
  <chartFormats count="21">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2" format="4" series="1">
      <pivotArea type="data" outline="0" fieldPosition="0">
        <references count="1">
          <reference field="4294967294" count="1" selected="0">
            <x v="4"/>
          </reference>
        </references>
      </pivotArea>
    </chartFormat>
    <chartFormat chart="12" format="5" series="1">
      <pivotArea type="data" outline="0" fieldPosition="0">
        <references count="1">
          <reference field="4294967294" count="1" selected="0">
            <x v="5"/>
          </reference>
        </references>
      </pivotArea>
    </chartFormat>
    <chartFormat chart="12" format="6" series="1">
      <pivotArea type="data" outline="0" fieldPosition="0">
        <references count="1">
          <reference field="4294967294" count="1" selected="0">
            <x v="6"/>
          </reference>
        </references>
      </pivotArea>
    </chartFormat>
    <chartFormat chart="16" format="7"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1"/>
          </reference>
        </references>
      </pivotArea>
    </chartFormat>
    <chartFormat chart="16" format="9" series="1">
      <pivotArea type="data" outline="0" fieldPosition="0">
        <references count="1">
          <reference field="4294967294" count="1" selected="0">
            <x v="2"/>
          </reference>
        </references>
      </pivotArea>
    </chartFormat>
    <chartFormat chart="16" format="10" series="1">
      <pivotArea type="data" outline="0" fieldPosition="0">
        <references count="1">
          <reference field="4294967294" count="1" selected="0">
            <x v="3"/>
          </reference>
        </references>
      </pivotArea>
    </chartFormat>
    <chartFormat chart="16" format="11" series="1">
      <pivotArea type="data" outline="0" fieldPosition="0">
        <references count="1">
          <reference field="4294967294" count="1" selected="0">
            <x v="4"/>
          </reference>
        </references>
      </pivotArea>
    </chartFormat>
    <chartFormat chart="16" format="12" series="1">
      <pivotArea type="data" outline="0" fieldPosition="0">
        <references count="1">
          <reference field="4294967294" count="1" selected="0">
            <x v="5"/>
          </reference>
        </references>
      </pivotArea>
    </chartFormat>
    <chartFormat chart="16" format="13" series="1">
      <pivotArea type="data" outline="0" fieldPosition="0">
        <references count="1">
          <reference field="4294967294" count="1" selected="0">
            <x v="6"/>
          </reference>
        </references>
      </pivotArea>
    </chartFormat>
    <chartFormat chart="17" format="21" series="1">
      <pivotArea type="data" outline="0" fieldPosition="0">
        <references count="1">
          <reference field="4294967294" count="1" selected="0">
            <x v="0"/>
          </reference>
        </references>
      </pivotArea>
    </chartFormat>
    <chartFormat chart="17" format="22" series="1">
      <pivotArea type="data" outline="0" fieldPosition="0">
        <references count="1">
          <reference field="4294967294" count="1" selected="0">
            <x v="1"/>
          </reference>
        </references>
      </pivotArea>
    </chartFormat>
    <chartFormat chart="17" format="23" series="1">
      <pivotArea type="data" outline="0" fieldPosition="0">
        <references count="1">
          <reference field="4294967294" count="1" selected="0">
            <x v="2"/>
          </reference>
        </references>
      </pivotArea>
    </chartFormat>
    <chartFormat chart="17" format="24" series="1">
      <pivotArea type="data" outline="0" fieldPosition="0">
        <references count="1">
          <reference field="4294967294" count="1" selected="0">
            <x v="3"/>
          </reference>
        </references>
      </pivotArea>
    </chartFormat>
    <chartFormat chart="17" format="25" series="1">
      <pivotArea type="data" outline="0" fieldPosition="0">
        <references count="1">
          <reference field="4294967294" count="1" selected="0">
            <x v="4"/>
          </reference>
        </references>
      </pivotArea>
    </chartFormat>
    <chartFormat chart="17" format="26" series="1">
      <pivotArea type="data" outline="0" fieldPosition="0">
        <references count="1">
          <reference field="4294967294" count="1" selected="0">
            <x v="5"/>
          </reference>
        </references>
      </pivotArea>
    </chartFormat>
    <chartFormat chart="17" format="27" series="1">
      <pivotArea type="data" outline="0" fieldPosition="0">
        <references count="1">
          <reference field="4294967294" count="1" selected="0">
            <x v="6"/>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9FE716-B4A3-437A-B544-E70C3672084E}"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8" firstHeaderRow="0" firstDataRow="1" firstDataCol="1"/>
  <pivotFields count="25">
    <pivotField showAll="0"/>
    <pivotField showAll="0"/>
    <pivotField showAll="0"/>
    <pivotField showAll="0"/>
    <pivotField showAll="0"/>
    <pivotField showAll="0"/>
    <pivotField showAll="0"/>
    <pivotField showAll="0"/>
    <pivotField showAll="0"/>
    <pivotField showAll="0"/>
    <pivotField showAll="0">
      <items count="45">
        <item x="27"/>
        <item x="42"/>
        <item x="32"/>
        <item x="40"/>
        <item x="38"/>
        <item x="6"/>
        <item x="21"/>
        <item x="17"/>
        <item x="18"/>
        <item x="26"/>
        <item x="33"/>
        <item x="25"/>
        <item x="8"/>
        <item x="34"/>
        <item x="36"/>
        <item x="20"/>
        <item x="31"/>
        <item x="1"/>
        <item x="41"/>
        <item x="3"/>
        <item x="28"/>
        <item x="43"/>
        <item x="30"/>
        <item x="39"/>
        <item x="24"/>
        <item x="22"/>
        <item x="12"/>
        <item x="35"/>
        <item x="14"/>
        <item x="19"/>
        <item x="23"/>
        <item x="37"/>
        <item x="29"/>
        <item x="13"/>
        <item x="10"/>
        <item x="9"/>
        <item x="2"/>
        <item x="7"/>
        <item x="15"/>
        <item x="4"/>
        <item x="11"/>
        <item x="5"/>
        <item x="16"/>
        <item x="0"/>
        <item t="default"/>
      </items>
    </pivotField>
    <pivotField dataField="1" showAll="0"/>
    <pivotField dataField="1" showAll="0"/>
    <pivotField dataField="1" showAll="0"/>
    <pivotField showAll="0"/>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showAll="0"/>
  </pivotFields>
  <rowFields count="1">
    <field x="21"/>
  </rowFields>
  <rowItems count="5">
    <i>
      <x/>
    </i>
    <i>
      <x v="1"/>
    </i>
    <i>
      <x v="2"/>
    </i>
    <i>
      <x v="3"/>
    </i>
    <i t="grand">
      <x/>
    </i>
  </rowItems>
  <colFields count="1">
    <field x="-2"/>
  </colFields>
  <colItems count="3">
    <i>
      <x/>
    </i>
    <i i="1">
      <x v="1"/>
    </i>
    <i i="2">
      <x v="2"/>
    </i>
  </colItems>
  <dataFields count="3">
    <dataField name="Sum of in_deezer_playlists" fld="11" baseField="0" baseItem="0"/>
    <dataField name="Sum of in_deezer_charts" fld="12" baseField="0" baseItem="0"/>
    <dataField name="Sum of in_shazam_charts" fld="13" baseField="0" baseItem="0"/>
  </dataField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65775B-9828-419C-BAFA-9EDFC709968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53" firstHeaderRow="1" firstDataRow="1" firstDataCol="1"/>
  <pivotFields count="21">
    <pivotField axis="axisRow" showAll="0">
      <items count="50">
        <item x="45"/>
        <item x="33"/>
        <item x="14"/>
        <item x="44"/>
        <item x="37"/>
        <item x="26"/>
        <item x="18"/>
        <item x="7"/>
        <item x="32"/>
        <item x="3"/>
        <item x="16"/>
        <item x="29"/>
        <item x="13"/>
        <item x="47"/>
        <item x="40"/>
        <item x="6"/>
        <item x="12"/>
        <item x="36"/>
        <item x="8"/>
        <item x="46"/>
        <item x="21"/>
        <item x="22"/>
        <item x="42"/>
        <item x="15"/>
        <item x="9"/>
        <item x="20"/>
        <item x="1"/>
        <item x="28"/>
        <item x="19"/>
        <item x="35"/>
        <item x="27"/>
        <item x="23"/>
        <item x="24"/>
        <item x="30"/>
        <item x="25"/>
        <item x="43"/>
        <item x="0"/>
        <item x="5"/>
        <item x="48"/>
        <item x="38"/>
        <item x="41"/>
        <item x="11"/>
        <item x="34"/>
        <item x="39"/>
        <item x="31"/>
        <item x="10"/>
        <item x="2"/>
        <item x="17"/>
        <item x="4"/>
        <item t="default"/>
      </items>
    </pivotField>
    <pivotField showAll="0"/>
    <pivotField showAll="0"/>
    <pivotField dataField="1" showAll="0">
      <items count="10">
        <item x="3"/>
        <item x="4"/>
        <item x="8"/>
        <item x="6"/>
        <item x="5"/>
        <item x="1"/>
        <item x="7"/>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released_year" fld="3"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4F5409-7A42-422D-803E-2656867F566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5">
    <pivotField showAll="0"/>
    <pivotField showAll="0"/>
    <pivotField dataField="1" showAll="0"/>
    <pivotField showAll="0"/>
    <pivotField showAll="0"/>
    <pivotField showAll="0"/>
    <pivotField dataField="1"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streams" fld="8" baseField="0" baseItem="0"/>
    <dataField name="Sum of artist_count" fld="2" baseField="0" baseItem="0"/>
    <dataField name="Sum of in_spotify_playlists" fld="6" baseField="0" baseItem="0"/>
    <dataField name="Sum of in_apple_playlists" fld="9" baseField="0" baseItem="0"/>
    <dataField name="Sum of in_deezer_playlists" fld="11"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_spotify_playlists" xr10:uid="{2F9EDE78-50E9-4F5A-B798-4C52A6E9F415}" sourceName="in_spotify_playlists">
  <pivotTables>
    <pivotTable tabId="9" name="PivotTable2"/>
  </pivotTables>
  <data>
    <tabular pivotCacheId="58150210">
      <items count="49">
        <i x="25" s="1"/>
        <i x="31" s="1"/>
        <i x="20" s="1"/>
        <i x="11" s="1"/>
        <i x="21" s="1"/>
        <i x="0" s="1"/>
        <i x="39" s="1"/>
        <i x="19" s="1"/>
        <i x="36" s="1"/>
        <i x="40" s="1"/>
        <i x="7" s="1"/>
        <i x="27" s="1"/>
        <i x="30" s="1"/>
        <i x="17" s="1"/>
        <i x="8" s="1"/>
        <i x="44" s="1"/>
        <i x="35" s="1"/>
        <i x="23" s="1"/>
        <i x="2" s="1"/>
        <i x="1" s="1"/>
        <i x="24" s="1"/>
        <i x="5" s="1"/>
        <i x="28" s="1"/>
        <i x="47" s="1"/>
        <i x="18" s="1"/>
        <i x="10" s="1"/>
        <i x="16" s="1"/>
        <i x="9" s="1"/>
        <i x="29" s="1"/>
        <i x="6" s="1"/>
        <i x="4" s="1"/>
        <i x="45" s="1"/>
        <i x="13" s="1"/>
        <i x="34" s="1"/>
        <i x="32" s="1"/>
        <i x="26" s="1"/>
        <i x="38" s="1"/>
        <i x="3" s="1"/>
        <i x="15" s="1"/>
        <i x="46" s="1"/>
        <i x="33" s="1"/>
        <i x="37" s="1"/>
        <i x="12" s="1"/>
        <i x="42" s="1"/>
        <i x="22" s="1"/>
        <i x="43" s="1"/>
        <i x="14" s="1"/>
        <i x="41" s="1"/>
        <i x="4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_apple_charts" xr10:uid="{6E93C859-5608-478E-AFA6-2EADA1ABCC5E}" sourceName="in_apple_charts">
  <pivotTables>
    <pivotTable tabId="10" name="PivotTable4"/>
  </pivotTables>
  <data>
    <tabular pivotCacheId="1240707946">
      <items count="44">
        <i x="27" s="1"/>
        <i x="42" s="1"/>
        <i x="32" s="1"/>
        <i x="40" s="1"/>
        <i x="38" s="1"/>
        <i x="6" s="1"/>
        <i x="21" s="1"/>
        <i x="17" s="1"/>
        <i x="18" s="1"/>
        <i x="26" s="1"/>
        <i x="33" s="1"/>
        <i x="25" s="1"/>
        <i x="8" s="1"/>
        <i x="34" s="1"/>
        <i x="36" s="1"/>
        <i x="20" s="1"/>
        <i x="31" s="1"/>
        <i x="1" s="1"/>
        <i x="41" s="1"/>
        <i x="3" s="1"/>
        <i x="28" s="1"/>
        <i x="43" s="1"/>
        <i x="30" s="1"/>
        <i x="39" s="1"/>
        <i x="24" s="1"/>
        <i x="22" s="1"/>
        <i x="12" s="1"/>
        <i x="35" s="1"/>
        <i x="14" s="1"/>
        <i x="19" s="1"/>
        <i x="23" s="1"/>
        <i x="37" s="1"/>
        <i x="29" s="1"/>
        <i x="13" s="1"/>
        <i x="10" s="1"/>
        <i x="9" s="1"/>
        <i x="2" s="1"/>
        <i x="7" s="1"/>
        <i x="15" s="1"/>
        <i x="4" s="1"/>
        <i x="11" s="1"/>
        <i x="5" s="1"/>
        <i x="1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tist_s__name" xr10:uid="{59847381-D9F0-417D-8B91-2A60920BDA13}" sourceName="artist(s)_name">
  <pivotTables>
    <pivotTable tabId="4" name="PivotTable2"/>
  </pivotTables>
  <data>
    <tabular pivotCacheId="1751913802">
      <items count="44">
        <i x="21" s="1"/>
        <i x="4" s="1"/>
        <i x="10" s="1"/>
        <i x="37" s="1"/>
        <i x="33" s="1"/>
        <i x="17" s="1"/>
        <i x="22" s="1"/>
        <i x="5" s="1"/>
        <i x="13" s="1"/>
        <i x="28" s="1"/>
        <i x="6" s="1"/>
        <i x="18" s="1"/>
        <i x="16" s="1"/>
        <i x="24" s="1"/>
        <i x="20" s="1"/>
        <i x="8" s="1"/>
        <i x="14" s="1"/>
        <i x="19" s="1"/>
        <i x="35" s="1"/>
        <i x="32" s="1"/>
        <i x="0" s="1"/>
        <i x="12" s="1"/>
        <i x="27" s="1"/>
        <i x="1" s="1"/>
        <i x="11" s="1"/>
        <i x="39" s="1"/>
        <i x="2" s="1"/>
        <i x="40" s="1"/>
        <i x="30" s="1"/>
        <i x="9" s="1"/>
        <i x="36" s="1"/>
        <i x="7" s="1"/>
        <i x="25" s="1"/>
        <i x="15" s="1"/>
        <i x="26" s="1"/>
        <i x="3" s="1"/>
        <i x="41" s="1"/>
        <i x="31" s="1"/>
        <i x="42" s="1"/>
        <i x="23" s="1"/>
        <i x="29" s="1"/>
        <i x="38" s="1"/>
        <i x="34" s="1"/>
        <i x="4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_shazam_charts" xr10:uid="{EAF6F971-43D9-436B-BE72-04E1FD5E6B16}" sourceName="in_shazam_charts">
  <pivotTables>
    <pivotTable tabId="6" name="PivotTable2"/>
  </pivotTables>
  <data>
    <tabular pivotCacheId="58150210">
      <items count="45">
        <i x="16" s="1"/>
        <i x="28" s="1"/>
        <i x="18" s="1"/>
        <i x="36" s="1"/>
        <i x="37" s="1"/>
        <i x="20" s="1"/>
        <i x="33" s="1"/>
        <i x="34" s="1"/>
        <i x="23" s="1"/>
        <i x="35" s="1"/>
        <i x="41" s="1"/>
        <i x="21" s="1"/>
        <i x="44" s="1"/>
        <i x="19" s="1"/>
        <i x="11" s="1"/>
        <i x="31" s="1"/>
        <i x="15" s="1"/>
        <i x="7" s="1"/>
        <i x="27" s="1"/>
        <i x="24" s="1"/>
        <i x="32" s="1"/>
        <i x="10" s="1"/>
        <i x="43" s="1"/>
        <i x="26" s="1"/>
        <i x="29" s="1"/>
        <i x="39" s="1"/>
        <i x="25" s="1"/>
        <i x="42" s="1"/>
        <i x="9" s="1"/>
        <i x="30" s="1"/>
        <i x="1" s="1"/>
        <i x="6" s="1"/>
        <i x="4" s="1"/>
        <i x="3" s="1"/>
        <i x="38" s="1"/>
        <i x="0" s="1"/>
        <i x="5" s="1"/>
        <i x="2" s="1"/>
        <i x="8" s="1"/>
        <i x="12" s="1"/>
        <i x="22" s="1"/>
        <i x="40" s="1"/>
        <i x="17" s="1"/>
        <i x="13"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d_year" xr10:uid="{A680ED91-94A3-44AA-8E46-1C1F51EDD4D4}" sourceName="released_year">
  <pivotTables>
    <pivotTable tabId="14" name="PivotTable7"/>
  </pivotTables>
  <data>
    <tabular pivotCacheId="876245224">
      <items count="9">
        <i x="3" s="1"/>
        <i x="4" s="1"/>
        <i x="8" s="1"/>
        <i x="6" s="1"/>
        <i x="5" s="1"/>
        <i x="1" s="1"/>
        <i x="7"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_shazam_charts" xr10:uid="{895E3709-82BB-4A2A-AD45-E67E42CD30E5}" cache="Slicer_in_shazam_charts" caption="in_shazam_charts"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tist(s)_name" xr10:uid="{61AF6DB6-5836-48F7-BD82-A191E66E1A84}" cache="Slicer_artist_s__name" caption="artist(s)_name"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_spotify_playlists" xr10:uid="{0DB345C5-C065-4CC6-A9EA-2B5F8E92E2B4}" cache="Slicer_in_spotify_playlists" caption="in_spotify_playlists"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_apple_charts" xr10:uid="{9815FB32-CA3A-4105-9F1E-B3E15F806D8D}" cache="Slicer_in_apple_charts" caption="in_apple_charts" startItem="14" style="SlicerStyleLight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ased_year" xr10:uid="{97085C2C-3621-4879-8242-6E0E4F7ADE55}" cache="Slicer_released_year" caption="released_year" style="SlicerStyleLight6"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_spotify_playlists 1" xr10:uid="{2247C8A9-4D08-4454-AE06-EC6523EB93F8}" cache="Slicer_in_spotify_playlists" caption="in_spotify_playlists" startItem="12" style="SlicerStyleLight6" rowHeight="234950"/>
  <slicer name="artist(s)_name 1" xr10:uid="{C11F30AB-F2B4-49E8-8F1B-4EF8E2CE9EB6}" cache="Slicer_artist_s__name" caption="artist(s)_name" style="SlicerStyleLight6" rowHeight="234950"/>
  <slicer name="in_shazam_charts 1" xr10:uid="{5E047768-7115-49D0-BA9D-AE96886D8A09}" cache="Slicer_in_shazam_charts" caption="in_shazam_charts" startItem="8"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06F718-63AA-4E16-BFFC-43292C609AF8}" name="Table1" displayName="Table1" ref="A1:U50" totalsRowShown="0">
  <autoFilter ref="A1:U50" xr:uid="{7006F718-63AA-4E16-BFFC-43292C609AF8}"/>
  <tableColumns count="21">
    <tableColumn id="1" xr3:uid="{BCFB00AC-C83D-4F49-86B4-F078A14C34A3}" name="track_name"/>
    <tableColumn id="2" xr3:uid="{4028A2F5-DD95-4785-B00F-FEC4F150C910}" name="artist(s)_name"/>
    <tableColumn id="3" xr3:uid="{09599113-E248-4A1B-BF1D-27EAEA7A35C4}" name="artist_count"/>
    <tableColumn id="4" xr3:uid="{FE06E143-FDBA-4218-AFC3-4DB1A01C2891}" name="released_year"/>
    <tableColumn id="5" xr3:uid="{9CDD43C1-4130-46CF-871D-02F0E6406E00}" name="released_month"/>
    <tableColumn id="6" xr3:uid="{28D738E9-BD74-495C-BC82-5180D5174D51}" name="released_day"/>
    <tableColumn id="7" xr3:uid="{4DE20A6C-6970-4D72-85C6-9BAB49599405}" name="in_spotify_playlists"/>
    <tableColumn id="8" xr3:uid="{47CCA7A7-059E-4908-8F58-B47B82107CFD}" name="in_spotify_charts"/>
    <tableColumn id="9" xr3:uid="{922B2ECE-0CC6-48C4-9FFC-8C86C87664E6}" name="streams"/>
    <tableColumn id="10" xr3:uid="{9026C6BA-E489-4A19-B85E-DA2F4530F464}" name="in_apple_playlists"/>
    <tableColumn id="11" xr3:uid="{00F7F95F-1C9B-41AB-AADE-79AB8A133701}" name="in_apple_charts"/>
    <tableColumn id="12" xr3:uid="{36E35D09-7662-4A79-9A08-E9038E62DF0C}" name="in_deezer_playlists"/>
    <tableColumn id="13" xr3:uid="{514AF89B-7B7E-4B02-9640-D53BD239D13E}" name="in_deezer_charts"/>
    <tableColumn id="14" xr3:uid="{7470F6C2-6574-4E54-8486-A9D201D7486A}" name="in_shazam_charts"/>
    <tableColumn id="15" xr3:uid="{3B921DD9-351C-4311-9D01-EF2574D49248}" name="bpm"/>
    <tableColumn id="16" xr3:uid="{43970D0D-F760-4032-9507-67444F8F873A}" name="key"/>
    <tableColumn id="17" xr3:uid="{59905CD7-5DC6-4492-83C8-BB00535B47B1}" name="mode"/>
    <tableColumn id="18" xr3:uid="{ACA8BB77-D468-422A-B5C1-508ED6D60C49}" name="danceability_%"/>
    <tableColumn id="19" xr3:uid="{789D2A3B-887B-4F39-8F3C-BD3EDE8156FD}" name="valence_%"/>
    <tableColumn id="20" xr3:uid="{8685ACA6-AD3A-439A-B16B-D61B9FCFBF6C}" name="energy_%"/>
    <tableColumn id="21" xr3:uid="{D7176869-38AA-46AF-B418-3C3298D4860C}" name="acousticness_%"/>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4084B-C105-446A-B491-71E0CADA92B0}">
  <dimension ref="A3:D8"/>
  <sheetViews>
    <sheetView tabSelected="1" workbookViewId="0">
      <selection activeCell="D31" sqref="D31"/>
    </sheetView>
  </sheetViews>
  <sheetFormatPr defaultRowHeight="14.4" x14ac:dyDescent="0.3"/>
  <cols>
    <col min="1" max="1" width="12.5546875" bestFit="1" customWidth="1"/>
    <col min="2" max="2" width="23.5546875" bestFit="1" customWidth="1"/>
    <col min="3" max="3" width="22" bestFit="1" customWidth="1"/>
    <col min="4" max="4" width="22.77734375" bestFit="1" customWidth="1"/>
  </cols>
  <sheetData>
    <row r="3" spans="1:4" x14ac:dyDescent="0.3">
      <c r="A3" s="3" t="s">
        <v>129</v>
      </c>
      <c r="B3" t="s">
        <v>136</v>
      </c>
      <c r="C3" t="s">
        <v>139</v>
      </c>
      <c r="D3" t="s">
        <v>140</v>
      </c>
    </row>
    <row r="4" spans="1:4" x14ac:dyDescent="0.3">
      <c r="A4" s="4">
        <v>0</v>
      </c>
      <c r="B4">
        <v>9461</v>
      </c>
      <c r="C4">
        <v>629</v>
      </c>
      <c r="D4">
        <v>16823</v>
      </c>
    </row>
    <row r="5" spans="1:4" x14ac:dyDescent="0.3">
      <c r="A5" s="4">
        <v>2</v>
      </c>
      <c r="B5">
        <v>582</v>
      </c>
      <c r="C5">
        <v>2</v>
      </c>
      <c r="D5">
        <v>73</v>
      </c>
    </row>
    <row r="6" spans="1:4" x14ac:dyDescent="0.3">
      <c r="A6" s="4">
        <v>17</v>
      </c>
      <c r="B6">
        <v>161</v>
      </c>
      <c r="C6">
        <v>12</v>
      </c>
      <c r="D6">
        <v>187</v>
      </c>
    </row>
    <row r="7" spans="1:4" x14ac:dyDescent="0.3">
      <c r="A7" s="4">
        <v>63</v>
      </c>
      <c r="B7">
        <v>87</v>
      </c>
      <c r="C7">
        <v>15</v>
      </c>
      <c r="D7">
        <v>425</v>
      </c>
    </row>
    <row r="8" spans="1:4" x14ac:dyDescent="0.3">
      <c r="A8" s="4" t="s">
        <v>130</v>
      </c>
      <c r="B8">
        <v>10291</v>
      </c>
      <c r="C8">
        <v>658</v>
      </c>
      <c r="D8">
        <v>17508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8295F-468B-439D-A231-9A114B442DF9}">
  <dimension ref="A3:D8"/>
  <sheetViews>
    <sheetView workbookViewId="0">
      <selection activeCell="F16" sqref="F16"/>
    </sheetView>
  </sheetViews>
  <sheetFormatPr defaultRowHeight="14.4" x14ac:dyDescent="0.3"/>
  <cols>
    <col min="1" max="1" width="12.5546875" bestFit="1" customWidth="1"/>
    <col min="2" max="2" width="21" bestFit="1" customWidth="1"/>
    <col min="3" max="3" width="23.5546875" bestFit="1" customWidth="1"/>
    <col min="4" max="4" width="22" bestFit="1" customWidth="1"/>
  </cols>
  <sheetData>
    <row r="3" spans="1:4" x14ac:dyDescent="0.3">
      <c r="A3" s="3" t="s">
        <v>129</v>
      </c>
      <c r="B3" t="s">
        <v>138</v>
      </c>
      <c r="C3" t="s">
        <v>136</v>
      </c>
      <c r="D3" t="s">
        <v>139</v>
      </c>
    </row>
    <row r="4" spans="1:4" x14ac:dyDescent="0.3">
      <c r="A4" s="4">
        <v>1</v>
      </c>
      <c r="B4">
        <v>3787</v>
      </c>
      <c r="C4">
        <v>4810</v>
      </c>
      <c r="D4">
        <v>363</v>
      </c>
    </row>
    <row r="5" spans="1:4" x14ac:dyDescent="0.3">
      <c r="A5" s="4">
        <v>2</v>
      </c>
      <c r="B5">
        <v>2454</v>
      </c>
      <c r="C5">
        <v>4793</v>
      </c>
      <c r="D5">
        <v>230</v>
      </c>
    </row>
    <row r="6" spans="1:4" x14ac:dyDescent="0.3">
      <c r="A6" s="4">
        <v>3</v>
      </c>
      <c r="B6">
        <v>697</v>
      </c>
      <c r="C6">
        <v>654</v>
      </c>
      <c r="D6">
        <v>58</v>
      </c>
    </row>
    <row r="7" spans="1:4" x14ac:dyDescent="0.3">
      <c r="A7" s="4">
        <v>8</v>
      </c>
      <c r="B7">
        <v>33</v>
      </c>
      <c r="C7">
        <v>34</v>
      </c>
      <c r="D7">
        <v>7</v>
      </c>
    </row>
    <row r="8" spans="1:4" x14ac:dyDescent="0.3">
      <c r="A8" s="4" t="s">
        <v>130</v>
      </c>
      <c r="B8">
        <v>6971</v>
      </c>
      <c r="C8">
        <v>10291</v>
      </c>
      <c r="D8">
        <v>658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26EE-D2C9-4EB1-9B8C-509B4D28DA9A}">
  <dimension ref="A3:B54"/>
  <sheetViews>
    <sheetView zoomScale="56" workbookViewId="0">
      <selection activeCell="B27" sqref="A3:B54"/>
    </sheetView>
  </sheetViews>
  <sheetFormatPr defaultRowHeight="14.4" x14ac:dyDescent="0.3"/>
  <cols>
    <col min="1" max="1" width="44.77734375" bestFit="1" customWidth="1"/>
    <col min="2" max="2" width="26.109375" bestFit="1" customWidth="1"/>
    <col min="3" max="3" width="17.77734375" bestFit="1" customWidth="1"/>
  </cols>
  <sheetData>
    <row r="3" spans="1:2" x14ac:dyDescent="0.3">
      <c r="A3" s="3" t="s">
        <v>129</v>
      </c>
      <c r="B3" t="s">
        <v>131</v>
      </c>
    </row>
    <row r="4" spans="1:2" x14ac:dyDescent="0.3">
      <c r="A4" s="4" t="s">
        <v>116</v>
      </c>
      <c r="B4">
        <v>2020</v>
      </c>
    </row>
    <row r="5" spans="1:2" x14ac:dyDescent="0.3">
      <c r="A5" s="4" t="s">
        <v>96</v>
      </c>
      <c r="B5">
        <v>2022</v>
      </c>
    </row>
    <row r="6" spans="1:2" x14ac:dyDescent="0.3">
      <c r="A6" s="4" t="s">
        <v>60</v>
      </c>
      <c r="B6">
        <v>2022</v>
      </c>
    </row>
    <row r="7" spans="1:2" x14ac:dyDescent="0.3">
      <c r="A7" s="4" t="s">
        <v>127</v>
      </c>
      <c r="B7">
        <v>2023</v>
      </c>
    </row>
    <row r="8" spans="1:2" x14ac:dyDescent="0.3">
      <c r="A8" s="4" t="s">
        <v>104</v>
      </c>
      <c r="B8">
        <v>2014</v>
      </c>
    </row>
    <row r="9" spans="1:2" x14ac:dyDescent="0.3">
      <c r="A9" s="4" t="s">
        <v>82</v>
      </c>
      <c r="B9">
        <v>2022</v>
      </c>
    </row>
    <row r="10" spans="1:2" x14ac:dyDescent="0.3">
      <c r="A10" s="4" t="s">
        <v>68</v>
      </c>
      <c r="B10">
        <v>2023</v>
      </c>
    </row>
    <row r="11" spans="1:2" x14ac:dyDescent="0.3">
      <c r="A11" s="4" t="s">
        <v>44</v>
      </c>
      <c r="B11">
        <v>2023</v>
      </c>
    </row>
    <row r="12" spans="1:2" x14ac:dyDescent="0.3">
      <c r="A12" s="4" t="s">
        <v>94</v>
      </c>
      <c r="B12">
        <v>2022</v>
      </c>
    </row>
    <row r="13" spans="1:2" x14ac:dyDescent="0.3">
      <c r="A13" s="4" t="s">
        <v>34</v>
      </c>
      <c r="B13">
        <v>2019</v>
      </c>
    </row>
    <row r="14" spans="1:2" x14ac:dyDescent="0.3">
      <c r="A14" s="4" t="s">
        <v>65</v>
      </c>
      <c r="B14">
        <v>2023</v>
      </c>
    </row>
    <row r="15" spans="1:2" x14ac:dyDescent="0.3">
      <c r="A15" s="4" t="s">
        <v>88</v>
      </c>
      <c r="B15">
        <v>2023</v>
      </c>
    </row>
    <row r="16" spans="1:2" x14ac:dyDescent="0.3">
      <c r="A16" s="4" t="s">
        <v>58</v>
      </c>
      <c r="B16">
        <v>2023</v>
      </c>
    </row>
    <row r="17" spans="1:2" x14ac:dyDescent="0.3">
      <c r="A17" s="4" t="s">
        <v>119</v>
      </c>
      <c r="B17">
        <v>2016</v>
      </c>
    </row>
    <row r="18" spans="1:2" x14ac:dyDescent="0.3">
      <c r="A18" s="4" t="s">
        <v>107</v>
      </c>
      <c r="B18">
        <v>2023</v>
      </c>
    </row>
    <row r="19" spans="1:2" x14ac:dyDescent="0.3">
      <c r="A19" s="4" t="s">
        <v>42</v>
      </c>
      <c r="B19">
        <v>2023</v>
      </c>
    </row>
    <row r="20" spans="1:2" x14ac:dyDescent="0.3">
      <c r="A20" s="4" t="s">
        <v>56</v>
      </c>
      <c r="B20">
        <v>2023</v>
      </c>
    </row>
    <row r="21" spans="1:2" x14ac:dyDescent="0.3">
      <c r="A21" s="4" t="s">
        <v>102</v>
      </c>
      <c r="B21">
        <v>2023</v>
      </c>
    </row>
    <row r="22" spans="1:2" x14ac:dyDescent="0.3">
      <c r="A22" s="4" t="s">
        <v>46</v>
      </c>
      <c r="B22">
        <v>2023</v>
      </c>
    </row>
    <row r="23" spans="1:2" x14ac:dyDescent="0.3">
      <c r="A23" s="4" t="s">
        <v>117</v>
      </c>
      <c r="B23">
        <v>2022</v>
      </c>
    </row>
    <row r="24" spans="1:2" x14ac:dyDescent="0.3">
      <c r="A24" s="4" t="s">
        <v>125</v>
      </c>
      <c r="B24">
        <v>2023</v>
      </c>
    </row>
    <row r="25" spans="1:2" x14ac:dyDescent="0.3">
      <c r="A25" s="4" t="s">
        <v>75</v>
      </c>
      <c r="B25">
        <v>2013</v>
      </c>
    </row>
    <row r="26" spans="1:2" x14ac:dyDescent="0.3">
      <c r="A26" s="4" t="s">
        <v>111</v>
      </c>
      <c r="B26">
        <v>2022</v>
      </c>
    </row>
    <row r="27" spans="1:2" x14ac:dyDescent="0.3">
      <c r="A27" s="4" t="s">
        <v>62</v>
      </c>
      <c r="B27">
        <v>2022</v>
      </c>
    </row>
    <row r="28" spans="1:2" x14ac:dyDescent="0.3">
      <c r="A28" s="4" t="s">
        <v>48</v>
      </c>
      <c r="B28">
        <v>2023</v>
      </c>
    </row>
    <row r="29" spans="1:2" x14ac:dyDescent="0.3">
      <c r="A29" s="4" t="s">
        <v>73</v>
      </c>
      <c r="B29">
        <v>2023</v>
      </c>
    </row>
    <row r="30" spans="1:2" x14ac:dyDescent="0.3">
      <c r="A30" s="4" t="s">
        <v>28</v>
      </c>
      <c r="B30">
        <v>2023</v>
      </c>
    </row>
    <row r="31" spans="1:2" x14ac:dyDescent="0.3">
      <c r="A31" s="4" t="s">
        <v>86</v>
      </c>
      <c r="B31">
        <v>2023</v>
      </c>
    </row>
    <row r="32" spans="1:2" x14ac:dyDescent="0.3">
      <c r="A32" s="4" t="s">
        <v>70</v>
      </c>
      <c r="B32">
        <v>2023</v>
      </c>
    </row>
    <row r="33" spans="1:2" x14ac:dyDescent="0.3">
      <c r="A33" s="4" t="s">
        <v>100</v>
      </c>
      <c r="B33">
        <v>2023</v>
      </c>
    </row>
    <row r="34" spans="1:2" x14ac:dyDescent="0.3">
      <c r="A34" s="4" t="s">
        <v>84</v>
      </c>
      <c r="B34">
        <v>2023</v>
      </c>
    </row>
    <row r="35" spans="1:2" x14ac:dyDescent="0.3">
      <c r="A35" s="4" t="s">
        <v>77</v>
      </c>
      <c r="B35">
        <v>2023</v>
      </c>
    </row>
    <row r="36" spans="1:2" x14ac:dyDescent="0.3">
      <c r="A36" s="4" t="s">
        <v>124</v>
      </c>
      <c r="B36">
        <v>2023</v>
      </c>
    </row>
    <row r="37" spans="1:2" x14ac:dyDescent="0.3">
      <c r="A37" s="4" t="s">
        <v>90</v>
      </c>
      <c r="B37">
        <v>2023</v>
      </c>
    </row>
    <row r="38" spans="1:2" x14ac:dyDescent="0.3">
      <c r="A38" s="4" t="s">
        <v>80</v>
      </c>
      <c r="B38">
        <v>2023</v>
      </c>
    </row>
    <row r="39" spans="1:2" x14ac:dyDescent="0.3">
      <c r="A39" s="4" t="s">
        <v>113</v>
      </c>
      <c r="B39">
        <v>2017</v>
      </c>
    </row>
    <row r="40" spans="1:2" x14ac:dyDescent="0.3">
      <c r="A40" s="4" t="s">
        <v>24</v>
      </c>
      <c r="B40">
        <v>2023</v>
      </c>
    </row>
    <row r="41" spans="1:2" x14ac:dyDescent="0.3">
      <c r="A41" s="4" t="s">
        <v>40</v>
      </c>
      <c r="B41">
        <v>2023</v>
      </c>
    </row>
    <row r="42" spans="1:2" x14ac:dyDescent="0.3">
      <c r="A42" s="4" t="s">
        <v>121</v>
      </c>
      <c r="B42">
        <v>2016</v>
      </c>
    </row>
    <row r="43" spans="1:2" x14ac:dyDescent="0.3">
      <c r="A43" s="4" t="s">
        <v>105</v>
      </c>
      <c r="B43">
        <v>2014</v>
      </c>
    </row>
    <row r="44" spans="1:2" x14ac:dyDescent="0.3">
      <c r="A44" s="4" t="s">
        <v>109</v>
      </c>
      <c r="B44">
        <v>2018</v>
      </c>
    </row>
    <row r="45" spans="1:2" x14ac:dyDescent="0.3">
      <c r="A45" s="4" t="s">
        <v>54</v>
      </c>
      <c r="B45">
        <v>2023</v>
      </c>
    </row>
    <row r="46" spans="1:2" x14ac:dyDescent="0.3">
      <c r="A46" s="4" t="s">
        <v>98</v>
      </c>
      <c r="B46">
        <v>2023</v>
      </c>
    </row>
    <row r="47" spans="1:2" x14ac:dyDescent="0.3">
      <c r="A47" s="4" t="s">
        <v>106</v>
      </c>
      <c r="B47">
        <v>2023</v>
      </c>
    </row>
    <row r="48" spans="1:2" x14ac:dyDescent="0.3">
      <c r="A48" s="4" t="s">
        <v>92</v>
      </c>
      <c r="B48">
        <v>2023</v>
      </c>
    </row>
    <row r="49" spans="1:2" x14ac:dyDescent="0.3">
      <c r="A49" s="4" t="s">
        <v>51</v>
      </c>
      <c r="B49">
        <v>2023</v>
      </c>
    </row>
    <row r="50" spans="1:2" x14ac:dyDescent="0.3">
      <c r="A50" s="4" t="s">
        <v>31</v>
      </c>
      <c r="B50">
        <v>2023</v>
      </c>
    </row>
    <row r="51" spans="1:2" x14ac:dyDescent="0.3">
      <c r="A51" s="4" t="s">
        <v>126</v>
      </c>
      <c r="B51">
        <v>2023</v>
      </c>
    </row>
    <row r="52" spans="1:2" x14ac:dyDescent="0.3">
      <c r="A52" s="4" t="s">
        <v>37</v>
      </c>
      <c r="B52">
        <v>2023</v>
      </c>
    </row>
    <row r="53" spans="1:2" x14ac:dyDescent="0.3">
      <c r="A53" s="4" t="s">
        <v>137</v>
      </c>
    </row>
    <row r="54" spans="1:2" x14ac:dyDescent="0.3">
      <c r="A54" s="4" t="s">
        <v>130</v>
      </c>
      <c r="B54">
        <v>99060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AEFB-B684-4691-B56E-FA12CE0AA052}">
  <dimension ref="A3:C5"/>
  <sheetViews>
    <sheetView workbookViewId="0">
      <selection activeCell="H17" sqref="H17"/>
    </sheetView>
  </sheetViews>
  <sheetFormatPr defaultRowHeight="14.4" x14ac:dyDescent="0.3"/>
  <cols>
    <col min="1" max="1" width="12.5546875" bestFit="1" customWidth="1"/>
    <col min="2" max="2" width="21.44140625" bestFit="1" customWidth="1"/>
    <col min="3" max="3" width="14.109375" bestFit="1" customWidth="1"/>
  </cols>
  <sheetData>
    <row r="3" spans="1:3" x14ac:dyDescent="0.3">
      <c r="A3" s="3" t="s">
        <v>129</v>
      </c>
      <c r="B3" t="s">
        <v>141</v>
      </c>
      <c r="C3" t="s">
        <v>132</v>
      </c>
    </row>
    <row r="4" spans="1:3" x14ac:dyDescent="0.3">
      <c r="A4" s="4" t="s">
        <v>60</v>
      </c>
      <c r="B4">
        <v>3</v>
      </c>
      <c r="C4">
        <v>2513188493</v>
      </c>
    </row>
    <row r="5" spans="1:3" x14ac:dyDescent="0.3">
      <c r="A5" s="4" t="s">
        <v>130</v>
      </c>
      <c r="B5">
        <v>3</v>
      </c>
      <c r="C5">
        <v>2513188493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77AF-5734-4B42-A0E7-0059664D728F}">
  <dimension ref="A3:G4"/>
  <sheetViews>
    <sheetView workbookViewId="0">
      <selection activeCell="C25" sqref="C25"/>
    </sheetView>
  </sheetViews>
  <sheetFormatPr defaultRowHeight="14.4" x14ac:dyDescent="0.3"/>
  <cols>
    <col min="1" max="1" width="23.77734375" bestFit="1" customWidth="1"/>
    <col min="2" max="2" width="22.6640625" bestFit="1" customWidth="1"/>
    <col min="3" max="3" width="23.5546875" bestFit="1" customWidth="1"/>
    <col min="4" max="4" width="21" bestFit="1" customWidth="1"/>
    <col min="5" max="5" width="22" bestFit="1" customWidth="1"/>
    <col min="6" max="6" width="22.21875" bestFit="1" customWidth="1"/>
    <col min="7" max="7" width="19.33203125" bestFit="1" customWidth="1"/>
  </cols>
  <sheetData>
    <row r="3" spans="1:7" x14ac:dyDescent="0.3">
      <c r="A3" t="s">
        <v>134</v>
      </c>
      <c r="B3" t="s">
        <v>135</v>
      </c>
      <c r="C3" t="s">
        <v>136</v>
      </c>
      <c r="D3" t="s">
        <v>138</v>
      </c>
      <c r="E3" t="s">
        <v>139</v>
      </c>
      <c r="F3" t="s">
        <v>142</v>
      </c>
      <c r="G3" t="s">
        <v>131</v>
      </c>
    </row>
    <row r="4" spans="1:7" x14ac:dyDescent="0.3">
      <c r="A4">
        <v>250586</v>
      </c>
      <c r="B4">
        <v>4743</v>
      </c>
      <c r="C4">
        <v>10291</v>
      </c>
      <c r="D4">
        <v>6971</v>
      </c>
      <c r="E4">
        <v>658</v>
      </c>
      <c r="F4">
        <v>3190</v>
      </c>
      <c r="G4">
        <v>99060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BD16-69D1-451A-B768-39A7CBC56A08}">
  <dimension ref="A3:D8"/>
  <sheetViews>
    <sheetView zoomScale="113" zoomScaleNormal="100" workbookViewId="0">
      <selection activeCell="K17" sqref="K17"/>
    </sheetView>
  </sheetViews>
  <sheetFormatPr defaultRowHeight="14.4" x14ac:dyDescent="0.3"/>
  <cols>
    <col min="1" max="1" width="12.5546875" bestFit="1" customWidth="1"/>
    <col min="2" max="2" width="23.5546875" bestFit="1" customWidth="1"/>
    <col min="3" max="3" width="22" bestFit="1" customWidth="1"/>
    <col min="4" max="4" width="22.77734375" bestFit="1" customWidth="1"/>
  </cols>
  <sheetData>
    <row r="3" spans="1:4" x14ac:dyDescent="0.3">
      <c r="A3" s="3" t="s">
        <v>129</v>
      </c>
      <c r="B3" t="s">
        <v>136</v>
      </c>
      <c r="C3" t="s">
        <v>139</v>
      </c>
      <c r="D3" t="s">
        <v>140</v>
      </c>
    </row>
    <row r="4" spans="1:4" x14ac:dyDescent="0.3">
      <c r="A4" s="4">
        <v>0</v>
      </c>
      <c r="B4">
        <v>9461</v>
      </c>
      <c r="C4">
        <v>629</v>
      </c>
      <c r="D4">
        <v>16823</v>
      </c>
    </row>
    <row r="5" spans="1:4" x14ac:dyDescent="0.3">
      <c r="A5" s="4">
        <v>2</v>
      </c>
      <c r="B5">
        <v>582</v>
      </c>
      <c r="C5">
        <v>2</v>
      </c>
      <c r="D5">
        <v>73</v>
      </c>
    </row>
    <row r="6" spans="1:4" x14ac:dyDescent="0.3">
      <c r="A6" s="4">
        <v>17</v>
      </c>
      <c r="B6">
        <v>161</v>
      </c>
      <c r="C6">
        <v>12</v>
      </c>
      <c r="D6">
        <v>187</v>
      </c>
    </row>
    <row r="7" spans="1:4" x14ac:dyDescent="0.3">
      <c r="A7" s="4">
        <v>63</v>
      </c>
      <c r="B7">
        <v>87</v>
      </c>
      <c r="C7">
        <v>15</v>
      </c>
      <c r="D7">
        <v>425</v>
      </c>
    </row>
    <row r="8" spans="1:4" x14ac:dyDescent="0.3">
      <c r="A8" s="4" t="s">
        <v>130</v>
      </c>
      <c r="B8">
        <v>10291</v>
      </c>
      <c r="C8">
        <v>658</v>
      </c>
      <c r="D8">
        <v>17508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0A01-1267-465B-AC4D-6A4341DB8E83}">
  <dimension ref="A3:B53"/>
  <sheetViews>
    <sheetView workbookViewId="0">
      <selection activeCell="G25" sqref="G25"/>
    </sheetView>
  </sheetViews>
  <sheetFormatPr defaultRowHeight="14.4" x14ac:dyDescent="0.3"/>
  <cols>
    <col min="1" max="1" width="39" bestFit="1" customWidth="1"/>
    <col min="2" max="2" width="19.33203125" bestFit="1" customWidth="1"/>
  </cols>
  <sheetData>
    <row r="3" spans="1:2" x14ac:dyDescent="0.3">
      <c r="A3" s="3" t="s">
        <v>129</v>
      </c>
      <c r="B3" t="s">
        <v>131</v>
      </c>
    </row>
    <row r="4" spans="1:2" x14ac:dyDescent="0.3">
      <c r="A4" s="4" t="s">
        <v>116</v>
      </c>
      <c r="B4">
        <v>2020</v>
      </c>
    </row>
    <row r="5" spans="1:2" x14ac:dyDescent="0.3">
      <c r="A5" s="4" t="s">
        <v>96</v>
      </c>
      <c r="B5">
        <v>2022</v>
      </c>
    </row>
    <row r="6" spans="1:2" x14ac:dyDescent="0.3">
      <c r="A6" s="4" t="s">
        <v>60</v>
      </c>
      <c r="B6">
        <v>2022</v>
      </c>
    </row>
    <row r="7" spans="1:2" x14ac:dyDescent="0.3">
      <c r="A7" s="4" t="s">
        <v>127</v>
      </c>
      <c r="B7">
        <v>2023</v>
      </c>
    </row>
    <row r="8" spans="1:2" x14ac:dyDescent="0.3">
      <c r="A8" s="4" t="s">
        <v>104</v>
      </c>
      <c r="B8">
        <v>2014</v>
      </c>
    </row>
    <row r="9" spans="1:2" x14ac:dyDescent="0.3">
      <c r="A9" s="4" t="s">
        <v>82</v>
      </c>
      <c r="B9">
        <v>2022</v>
      </c>
    </row>
    <row r="10" spans="1:2" x14ac:dyDescent="0.3">
      <c r="A10" s="4" t="s">
        <v>68</v>
      </c>
      <c r="B10">
        <v>2023</v>
      </c>
    </row>
    <row r="11" spans="1:2" x14ac:dyDescent="0.3">
      <c r="A11" s="4" t="s">
        <v>44</v>
      </c>
      <c r="B11">
        <v>2023</v>
      </c>
    </row>
    <row r="12" spans="1:2" x14ac:dyDescent="0.3">
      <c r="A12" s="4" t="s">
        <v>94</v>
      </c>
      <c r="B12">
        <v>2022</v>
      </c>
    </row>
    <row r="13" spans="1:2" x14ac:dyDescent="0.3">
      <c r="A13" s="4" t="s">
        <v>34</v>
      </c>
      <c r="B13">
        <v>2019</v>
      </c>
    </row>
    <row r="14" spans="1:2" x14ac:dyDescent="0.3">
      <c r="A14" s="4" t="s">
        <v>65</v>
      </c>
      <c r="B14">
        <v>2023</v>
      </c>
    </row>
    <row r="15" spans="1:2" x14ac:dyDescent="0.3">
      <c r="A15" s="4" t="s">
        <v>88</v>
      </c>
      <c r="B15">
        <v>2023</v>
      </c>
    </row>
    <row r="16" spans="1:2" x14ac:dyDescent="0.3">
      <c r="A16" s="4" t="s">
        <v>58</v>
      </c>
      <c r="B16">
        <v>2023</v>
      </c>
    </row>
    <row r="17" spans="1:2" x14ac:dyDescent="0.3">
      <c r="A17" s="4" t="s">
        <v>119</v>
      </c>
      <c r="B17">
        <v>2016</v>
      </c>
    </row>
    <row r="18" spans="1:2" x14ac:dyDescent="0.3">
      <c r="A18" s="4" t="s">
        <v>107</v>
      </c>
      <c r="B18">
        <v>2023</v>
      </c>
    </row>
    <row r="19" spans="1:2" x14ac:dyDescent="0.3">
      <c r="A19" s="4" t="s">
        <v>42</v>
      </c>
      <c r="B19">
        <v>2023</v>
      </c>
    </row>
    <row r="20" spans="1:2" x14ac:dyDescent="0.3">
      <c r="A20" s="4" t="s">
        <v>56</v>
      </c>
      <c r="B20">
        <v>2023</v>
      </c>
    </row>
    <row r="21" spans="1:2" x14ac:dyDescent="0.3">
      <c r="A21" s="4" t="s">
        <v>102</v>
      </c>
      <c r="B21">
        <v>2023</v>
      </c>
    </row>
    <row r="22" spans="1:2" x14ac:dyDescent="0.3">
      <c r="A22" s="4" t="s">
        <v>46</v>
      </c>
      <c r="B22">
        <v>2023</v>
      </c>
    </row>
    <row r="23" spans="1:2" x14ac:dyDescent="0.3">
      <c r="A23" s="4" t="s">
        <v>117</v>
      </c>
      <c r="B23">
        <v>2022</v>
      </c>
    </row>
    <row r="24" spans="1:2" x14ac:dyDescent="0.3">
      <c r="A24" s="4" t="s">
        <v>125</v>
      </c>
      <c r="B24">
        <v>2023</v>
      </c>
    </row>
    <row r="25" spans="1:2" x14ac:dyDescent="0.3">
      <c r="A25" s="4" t="s">
        <v>75</v>
      </c>
      <c r="B25">
        <v>2013</v>
      </c>
    </row>
    <row r="26" spans="1:2" x14ac:dyDescent="0.3">
      <c r="A26" s="4" t="s">
        <v>111</v>
      </c>
      <c r="B26">
        <v>2022</v>
      </c>
    </row>
    <row r="27" spans="1:2" x14ac:dyDescent="0.3">
      <c r="A27" s="4" t="s">
        <v>62</v>
      </c>
      <c r="B27">
        <v>2022</v>
      </c>
    </row>
    <row r="28" spans="1:2" x14ac:dyDescent="0.3">
      <c r="A28" s="4" t="s">
        <v>48</v>
      </c>
      <c r="B28">
        <v>2023</v>
      </c>
    </row>
    <row r="29" spans="1:2" x14ac:dyDescent="0.3">
      <c r="A29" s="4" t="s">
        <v>73</v>
      </c>
      <c r="B29">
        <v>2023</v>
      </c>
    </row>
    <row r="30" spans="1:2" x14ac:dyDescent="0.3">
      <c r="A30" s="4" t="s">
        <v>28</v>
      </c>
      <c r="B30">
        <v>2023</v>
      </c>
    </row>
    <row r="31" spans="1:2" x14ac:dyDescent="0.3">
      <c r="A31" s="4" t="s">
        <v>86</v>
      </c>
      <c r="B31">
        <v>2023</v>
      </c>
    </row>
    <row r="32" spans="1:2" x14ac:dyDescent="0.3">
      <c r="A32" s="4" t="s">
        <v>70</v>
      </c>
      <c r="B32">
        <v>2023</v>
      </c>
    </row>
    <row r="33" spans="1:2" x14ac:dyDescent="0.3">
      <c r="A33" s="4" t="s">
        <v>100</v>
      </c>
      <c r="B33">
        <v>2023</v>
      </c>
    </row>
    <row r="34" spans="1:2" x14ac:dyDescent="0.3">
      <c r="A34" s="4" t="s">
        <v>84</v>
      </c>
      <c r="B34">
        <v>2023</v>
      </c>
    </row>
    <row r="35" spans="1:2" x14ac:dyDescent="0.3">
      <c r="A35" s="4" t="s">
        <v>77</v>
      </c>
      <c r="B35">
        <v>2023</v>
      </c>
    </row>
    <row r="36" spans="1:2" x14ac:dyDescent="0.3">
      <c r="A36" s="4" t="s">
        <v>124</v>
      </c>
      <c r="B36">
        <v>2023</v>
      </c>
    </row>
    <row r="37" spans="1:2" x14ac:dyDescent="0.3">
      <c r="A37" s="4" t="s">
        <v>90</v>
      </c>
      <c r="B37">
        <v>2023</v>
      </c>
    </row>
    <row r="38" spans="1:2" x14ac:dyDescent="0.3">
      <c r="A38" s="4" t="s">
        <v>80</v>
      </c>
      <c r="B38">
        <v>2023</v>
      </c>
    </row>
    <row r="39" spans="1:2" x14ac:dyDescent="0.3">
      <c r="A39" s="4" t="s">
        <v>113</v>
      </c>
      <c r="B39">
        <v>2017</v>
      </c>
    </row>
    <row r="40" spans="1:2" x14ac:dyDescent="0.3">
      <c r="A40" s="4" t="s">
        <v>24</v>
      </c>
      <c r="B40">
        <v>2023</v>
      </c>
    </row>
    <row r="41" spans="1:2" x14ac:dyDescent="0.3">
      <c r="A41" s="4" t="s">
        <v>40</v>
      </c>
      <c r="B41">
        <v>2023</v>
      </c>
    </row>
    <row r="42" spans="1:2" x14ac:dyDescent="0.3">
      <c r="A42" s="4" t="s">
        <v>121</v>
      </c>
      <c r="B42">
        <v>2016</v>
      </c>
    </row>
    <row r="43" spans="1:2" x14ac:dyDescent="0.3">
      <c r="A43" s="4" t="s">
        <v>105</v>
      </c>
      <c r="B43">
        <v>2014</v>
      </c>
    </row>
    <row r="44" spans="1:2" x14ac:dyDescent="0.3">
      <c r="A44" s="4" t="s">
        <v>109</v>
      </c>
      <c r="B44">
        <v>2018</v>
      </c>
    </row>
    <row r="45" spans="1:2" x14ac:dyDescent="0.3">
      <c r="A45" s="4" t="s">
        <v>54</v>
      </c>
      <c r="B45">
        <v>2023</v>
      </c>
    </row>
    <row r="46" spans="1:2" x14ac:dyDescent="0.3">
      <c r="A46" s="4" t="s">
        <v>98</v>
      </c>
      <c r="B46">
        <v>2023</v>
      </c>
    </row>
    <row r="47" spans="1:2" x14ac:dyDescent="0.3">
      <c r="A47" s="4" t="s">
        <v>106</v>
      </c>
      <c r="B47">
        <v>2023</v>
      </c>
    </row>
    <row r="48" spans="1:2" x14ac:dyDescent="0.3">
      <c r="A48" s="4" t="s">
        <v>92</v>
      </c>
      <c r="B48">
        <v>2023</v>
      </c>
    </row>
    <row r="49" spans="1:2" x14ac:dyDescent="0.3">
      <c r="A49" s="4" t="s">
        <v>51</v>
      </c>
      <c r="B49">
        <v>2023</v>
      </c>
    </row>
    <row r="50" spans="1:2" x14ac:dyDescent="0.3">
      <c r="A50" s="4" t="s">
        <v>31</v>
      </c>
      <c r="B50">
        <v>2023</v>
      </c>
    </row>
    <row r="51" spans="1:2" x14ac:dyDescent="0.3">
      <c r="A51" s="4" t="s">
        <v>126</v>
      </c>
      <c r="B51">
        <v>2023</v>
      </c>
    </row>
    <row r="52" spans="1:2" x14ac:dyDescent="0.3">
      <c r="A52" s="4" t="s">
        <v>37</v>
      </c>
      <c r="B52">
        <v>2023</v>
      </c>
    </row>
    <row r="53" spans="1:2" x14ac:dyDescent="0.3">
      <c r="A53" s="4" t="s">
        <v>130</v>
      </c>
      <c r="B53">
        <v>99060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FEAB1-3B3A-490F-B613-769751267CE9}">
  <dimension ref="A1:E4"/>
  <sheetViews>
    <sheetView zoomScale="180" zoomScaleNormal="180" workbookViewId="0">
      <selection sqref="A1:XFD1"/>
    </sheetView>
  </sheetViews>
  <sheetFormatPr defaultRowHeight="14.4" x14ac:dyDescent="0.3"/>
  <cols>
    <col min="1" max="1" width="14.109375" bestFit="1" customWidth="1"/>
    <col min="2" max="2" width="28.33203125" customWidth="1"/>
    <col min="3" max="3" width="23.77734375" bestFit="1" customWidth="1"/>
    <col min="4" max="4" width="22.6640625" bestFit="1" customWidth="1"/>
    <col min="5" max="5" width="23.5546875" bestFit="1" customWidth="1"/>
  </cols>
  <sheetData>
    <row r="1" spans="1:5" s="7" customFormat="1" ht="34.200000000000003" customHeight="1" x14ac:dyDescent="0.3"/>
    <row r="3" spans="1:5" x14ac:dyDescent="0.3">
      <c r="A3" t="s">
        <v>132</v>
      </c>
      <c r="B3" t="s">
        <v>133</v>
      </c>
      <c r="C3" t="s">
        <v>134</v>
      </c>
      <c r="D3" t="s">
        <v>135</v>
      </c>
      <c r="E3" t="s">
        <v>136</v>
      </c>
    </row>
    <row r="4" spans="1:5" x14ac:dyDescent="0.3">
      <c r="A4">
        <v>29688807227</v>
      </c>
      <c r="B4">
        <v>82</v>
      </c>
      <c r="C4">
        <v>250586</v>
      </c>
      <c r="D4">
        <v>4743</v>
      </c>
      <c r="E4">
        <v>10291</v>
      </c>
    </row>
  </sheetData>
  <mergeCells count="1">
    <mergeCell ref="A1:XFD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D026E-845B-43F3-BC16-68BB5A25D417}">
  <dimension ref="A1:Y912"/>
  <sheetViews>
    <sheetView zoomScale="64" zoomScaleNormal="64" workbookViewId="0">
      <selection activeCell="D50" sqref="D50"/>
    </sheetView>
  </sheetViews>
  <sheetFormatPr defaultRowHeight="14.4" x14ac:dyDescent="0.3"/>
  <cols>
    <col min="1" max="1" width="29.5546875" customWidth="1"/>
    <col min="2" max="2" width="16.88671875" customWidth="1"/>
    <col min="3" max="3" width="14.21875" customWidth="1"/>
    <col min="4" max="4" width="16.44140625" customWidth="1"/>
    <col min="5" max="5" width="18.5546875" customWidth="1"/>
    <col min="6" max="6" width="15.77734375" customWidth="1"/>
    <col min="7" max="7" width="21.5546875" customWidth="1"/>
    <col min="8" max="8" width="19.109375" customWidth="1"/>
    <col min="9" max="9" width="26.77734375" customWidth="1"/>
    <col min="10" max="10" width="20.6640625" customWidth="1"/>
    <col min="11" max="11" width="18.21875" customWidth="1"/>
    <col min="12" max="12" width="21.5546875" customWidth="1"/>
    <col min="13" max="13" width="19.109375" customWidth="1"/>
    <col min="14" max="14" width="20" customWidth="1"/>
    <col min="15" max="15" width="7.109375" customWidth="1"/>
    <col min="16" max="16" width="6.109375" customWidth="1"/>
    <col min="17" max="17" width="8.33203125" customWidth="1"/>
    <col min="18" max="18" width="17.33203125" customWidth="1"/>
    <col min="19" max="19" width="12.88671875" customWidth="1"/>
    <col min="20" max="20" width="11.77734375" customWidth="1"/>
    <col min="21" max="21" width="17.88671875" customWidth="1"/>
    <col min="22" max="22" width="20" bestFit="1" customWidth="1"/>
    <col min="23" max="23" width="11.21875" bestFit="1" customWidth="1"/>
    <col min="24" max="24" width="15.21875" bestFit="1" customWidth="1"/>
    <col min="25" max="25" width="4.5546875" bestFit="1" customWidth="1"/>
  </cols>
  <sheetData>
    <row r="1" spans="1:25" ht="22.2"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123</v>
      </c>
    </row>
    <row r="2" spans="1:25" x14ac:dyDescent="0.3">
      <c r="A2" t="s">
        <v>24</v>
      </c>
      <c r="B2" t="s">
        <v>25</v>
      </c>
      <c r="C2">
        <v>2</v>
      </c>
      <c r="D2">
        <v>2023</v>
      </c>
      <c r="E2">
        <v>7</v>
      </c>
      <c r="F2">
        <v>14</v>
      </c>
      <c r="G2">
        <v>553</v>
      </c>
      <c r="H2">
        <v>147</v>
      </c>
      <c r="I2">
        <v>141381703</v>
      </c>
      <c r="J2">
        <v>43</v>
      </c>
      <c r="K2">
        <v>263</v>
      </c>
      <c r="L2">
        <v>45</v>
      </c>
      <c r="M2">
        <v>10</v>
      </c>
      <c r="N2">
        <v>826</v>
      </c>
      <c r="O2">
        <v>125</v>
      </c>
      <c r="P2" t="s">
        <v>26</v>
      </c>
      <c r="Q2" t="s">
        <v>27</v>
      </c>
      <c r="R2">
        <v>80</v>
      </c>
      <c r="S2">
        <v>89</v>
      </c>
      <c r="T2">
        <v>83</v>
      </c>
      <c r="U2">
        <v>31</v>
      </c>
      <c r="V2">
        <v>0</v>
      </c>
      <c r="W2">
        <v>8</v>
      </c>
      <c r="X2">
        <v>4</v>
      </c>
    </row>
    <row r="3" spans="1:25" x14ac:dyDescent="0.3">
      <c r="A3" t="s">
        <v>28</v>
      </c>
      <c r="B3" t="s">
        <v>29</v>
      </c>
      <c r="C3">
        <v>1</v>
      </c>
      <c r="D3">
        <v>2023</v>
      </c>
      <c r="E3">
        <v>3</v>
      </c>
      <c r="F3">
        <v>23</v>
      </c>
      <c r="G3">
        <v>1474</v>
      </c>
      <c r="H3">
        <v>48</v>
      </c>
      <c r="I3">
        <v>133716286</v>
      </c>
      <c r="J3">
        <v>48</v>
      </c>
      <c r="K3">
        <v>126</v>
      </c>
      <c r="L3">
        <v>58</v>
      </c>
      <c r="M3">
        <v>14</v>
      </c>
      <c r="N3">
        <v>382</v>
      </c>
      <c r="O3">
        <v>92</v>
      </c>
      <c r="P3" t="s">
        <v>30</v>
      </c>
      <c r="Q3" t="s">
        <v>27</v>
      </c>
      <c r="R3">
        <v>71</v>
      </c>
      <c r="S3">
        <v>61</v>
      </c>
      <c r="T3">
        <v>74</v>
      </c>
      <c r="U3">
        <v>7</v>
      </c>
      <c r="V3">
        <v>0</v>
      </c>
      <c r="W3">
        <v>10</v>
      </c>
      <c r="X3">
        <v>4</v>
      </c>
    </row>
    <row r="4" spans="1:25" x14ac:dyDescent="0.3">
      <c r="A4" t="s">
        <v>31</v>
      </c>
      <c r="B4" t="s">
        <v>32</v>
      </c>
      <c r="C4">
        <v>1</v>
      </c>
      <c r="D4">
        <v>2023</v>
      </c>
      <c r="E4">
        <v>6</v>
      </c>
      <c r="F4">
        <v>30</v>
      </c>
      <c r="G4">
        <v>1397</v>
      </c>
      <c r="H4">
        <v>113</v>
      </c>
      <c r="I4">
        <v>140003974</v>
      </c>
      <c r="J4">
        <v>94</v>
      </c>
      <c r="K4">
        <v>207</v>
      </c>
      <c r="L4">
        <v>91</v>
      </c>
      <c r="M4">
        <v>14</v>
      </c>
      <c r="N4">
        <v>949</v>
      </c>
      <c r="O4">
        <v>138</v>
      </c>
      <c r="P4" t="s">
        <v>33</v>
      </c>
      <c r="Q4" t="s">
        <v>27</v>
      </c>
      <c r="R4">
        <v>51</v>
      </c>
      <c r="S4">
        <v>32</v>
      </c>
      <c r="T4">
        <v>53</v>
      </c>
      <c r="U4">
        <v>17</v>
      </c>
      <c r="V4">
        <v>0</v>
      </c>
      <c r="W4">
        <v>31</v>
      </c>
      <c r="X4">
        <v>6</v>
      </c>
    </row>
    <row r="5" spans="1:25" x14ac:dyDescent="0.3">
      <c r="A5" t="s">
        <v>34</v>
      </c>
      <c r="B5" t="s">
        <v>35</v>
      </c>
      <c r="C5">
        <v>1</v>
      </c>
      <c r="D5">
        <v>2019</v>
      </c>
      <c r="E5">
        <v>8</v>
      </c>
      <c r="F5">
        <v>23</v>
      </c>
      <c r="G5">
        <v>7858</v>
      </c>
      <c r="H5">
        <v>100</v>
      </c>
      <c r="I5">
        <v>800840817</v>
      </c>
      <c r="J5">
        <v>116</v>
      </c>
      <c r="K5">
        <v>207</v>
      </c>
      <c r="L5">
        <v>125</v>
      </c>
      <c r="M5">
        <v>12</v>
      </c>
      <c r="N5">
        <v>548</v>
      </c>
      <c r="O5">
        <v>170</v>
      </c>
      <c r="P5" t="s">
        <v>36</v>
      </c>
      <c r="Q5" t="s">
        <v>27</v>
      </c>
      <c r="R5">
        <v>55</v>
      </c>
      <c r="S5">
        <v>58</v>
      </c>
      <c r="T5">
        <v>72</v>
      </c>
      <c r="U5">
        <v>11</v>
      </c>
      <c r="V5">
        <v>0</v>
      </c>
      <c r="W5">
        <v>11</v>
      </c>
      <c r="X5">
        <v>15</v>
      </c>
    </row>
    <row r="6" spans="1:25" x14ac:dyDescent="0.3">
      <c r="A6" t="s">
        <v>37</v>
      </c>
      <c r="B6" t="s">
        <v>38</v>
      </c>
      <c r="C6">
        <v>1</v>
      </c>
      <c r="D6">
        <v>2023</v>
      </c>
      <c r="E6">
        <v>5</v>
      </c>
      <c r="F6">
        <v>18</v>
      </c>
      <c r="G6">
        <v>3133</v>
      </c>
      <c r="H6">
        <v>50</v>
      </c>
      <c r="I6">
        <v>303236322</v>
      </c>
      <c r="J6">
        <v>84</v>
      </c>
      <c r="K6">
        <v>133</v>
      </c>
      <c r="L6">
        <v>87</v>
      </c>
      <c r="M6">
        <v>15</v>
      </c>
      <c r="N6">
        <v>425</v>
      </c>
      <c r="O6">
        <v>144</v>
      </c>
      <c r="P6" t="s">
        <v>36</v>
      </c>
      <c r="Q6" t="s">
        <v>39</v>
      </c>
      <c r="R6">
        <v>65</v>
      </c>
      <c r="S6">
        <v>23</v>
      </c>
      <c r="T6">
        <v>80</v>
      </c>
      <c r="U6">
        <v>14</v>
      </c>
      <c r="V6">
        <v>63</v>
      </c>
      <c r="W6">
        <v>11</v>
      </c>
      <c r="X6">
        <v>6</v>
      </c>
    </row>
    <row r="7" spans="1:25" x14ac:dyDescent="0.3">
      <c r="A7" t="s">
        <v>40</v>
      </c>
      <c r="B7" t="s">
        <v>41</v>
      </c>
      <c r="C7">
        <v>2</v>
      </c>
      <c r="D7">
        <v>2023</v>
      </c>
      <c r="E7">
        <v>6</v>
      </c>
      <c r="F7">
        <v>1</v>
      </c>
      <c r="G7">
        <v>2186</v>
      </c>
      <c r="H7">
        <v>91</v>
      </c>
      <c r="I7">
        <v>183706234</v>
      </c>
      <c r="J7">
        <v>67</v>
      </c>
      <c r="K7">
        <v>213</v>
      </c>
      <c r="L7">
        <v>88</v>
      </c>
      <c r="M7">
        <v>17</v>
      </c>
      <c r="N7">
        <v>946</v>
      </c>
      <c r="O7">
        <v>141</v>
      </c>
      <c r="P7" t="s">
        <v>30</v>
      </c>
      <c r="Q7" t="s">
        <v>27</v>
      </c>
      <c r="R7">
        <v>92</v>
      </c>
      <c r="S7">
        <v>66</v>
      </c>
      <c r="T7">
        <v>58</v>
      </c>
      <c r="U7">
        <v>19</v>
      </c>
      <c r="V7">
        <v>0</v>
      </c>
      <c r="W7">
        <v>8</v>
      </c>
      <c r="X7">
        <v>24</v>
      </c>
    </row>
    <row r="8" spans="1:25" x14ac:dyDescent="0.3">
      <c r="A8" t="s">
        <v>42</v>
      </c>
      <c r="B8" t="s">
        <v>43</v>
      </c>
      <c r="C8">
        <v>2</v>
      </c>
      <c r="D8">
        <v>2023</v>
      </c>
      <c r="E8">
        <v>3</v>
      </c>
      <c r="F8">
        <v>16</v>
      </c>
      <c r="G8">
        <v>3090</v>
      </c>
      <c r="H8">
        <v>50</v>
      </c>
      <c r="I8">
        <v>725980112</v>
      </c>
      <c r="J8">
        <v>34</v>
      </c>
      <c r="K8">
        <v>222</v>
      </c>
      <c r="L8">
        <v>43</v>
      </c>
      <c r="M8">
        <v>13</v>
      </c>
      <c r="N8">
        <v>418</v>
      </c>
      <c r="O8">
        <v>148</v>
      </c>
      <c r="P8" t="s">
        <v>33</v>
      </c>
      <c r="Q8" t="s">
        <v>39</v>
      </c>
      <c r="R8">
        <v>67</v>
      </c>
      <c r="S8">
        <v>83</v>
      </c>
      <c r="T8">
        <v>76</v>
      </c>
      <c r="U8">
        <v>48</v>
      </c>
      <c r="V8">
        <v>0</v>
      </c>
      <c r="W8">
        <v>8</v>
      </c>
      <c r="X8">
        <v>3</v>
      </c>
    </row>
    <row r="9" spans="1:25" x14ac:dyDescent="0.3">
      <c r="A9" t="s">
        <v>44</v>
      </c>
      <c r="B9" t="s">
        <v>45</v>
      </c>
      <c r="C9">
        <v>1</v>
      </c>
      <c r="D9">
        <v>2023</v>
      </c>
      <c r="E9">
        <v>7</v>
      </c>
      <c r="F9">
        <v>7</v>
      </c>
      <c r="G9">
        <v>714</v>
      </c>
      <c r="H9">
        <v>43</v>
      </c>
      <c r="I9">
        <v>58149378</v>
      </c>
      <c r="J9">
        <v>25</v>
      </c>
      <c r="K9">
        <v>89</v>
      </c>
      <c r="L9">
        <v>30</v>
      </c>
      <c r="M9">
        <v>13</v>
      </c>
      <c r="N9">
        <v>194</v>
      </c>
      <c r="O9">
        <v>100</v>
      </c>
      <c r="P9" t="s">
        <v>33</v>
      </c>
      <c r="Q9" t="s">
        <v>27</v>
      </c>
      <c r="R9">
        <v>67</v>
      </c>
      <c r="S9">
        <v>26</v>
      </c>
      <c r="T9">
        <v>71</v>
      </c>
      <c r="U9">
        <v>37</v>
      </c>
      <c r="V9">
        <v>0</v>
      </c>
      <c r="W9">
        <v>11</v>
      </c>
      <c r="X9">
        <v>4</v>
      </c>
    </row>
    <row r="10" spans="1:25" x14ac:dyDescent="0.3">
      <c r="A10" t="s">
        <v>46</v>
      </c>
      <c r="B10" t="s">
        <v>47</v>
      </c>
      <c r="C10">
        <v>1</v>
      </c>
      <c r="D10">
        <v>2023</v>
      </c>
      <c r="E10">
        <v>5</v>
      </c>
      <c r="F10">
        <v>15</v>
      </c>
      <c r="G10">
        <v>1096</v>
      </c>
      <c r="H10">
        <v>83</v>
      </c>
      <c r="I10">
        <v>95217315</v>
      </c>
      <c r="J10">
        <v>60</v>
      </c>
      <c r="K10">
        <v>210</v>
      </c>
      <c r="L10">
        <v>48</v>
      </c>
      <c r="M10">
        <v>11</v>
      </c>
      <c r="N10">
        <v>953</v>
      </c>
      <c r="O10">
        <v>130</v>
      </c>
      <c r="P10" t="s">
        <v>30</v>
      </c>
      <c r="Q10" t="s">
        <v>39</v>
      </c>
      <c r="R10">
        <v>85</v>
      </c>
      <c r="S10">
        <v>22</v>
      </c>
      <c r="T10">
        <v>62</v>
      </c>
      <c r="U10">
        <v>12</v>
      </c>
      <c r="V10">
        <v>0</v>
      </c>
      <c r="W10">
        <v>28</v>
      </c>
      <c r="X10">
        <v>9</v>
      </c>
    </row>
    <row r="11" spans="1:25" x14ac:dyDescent="0.3">
      <c r="A11" t="s">
        <v>48</v>
      </c>
      <c r="B11" t="s">
        <v>49</v>
      </c>
      <c r="C11">
        <v>2</v>
      </c>
      <c r="D11">
        <v>2023</v>
      </c>
      <c r="E11">
        <v>3</v>
      </c>
      <c r="F11">
        <v>17</v>
      </c>
      <c r="G11">
        <v>2953</v>
      </c>
      <c r="H11">
        <v>44</v>
      </c>
      <c r="I11">
        <v>553634067</v>
      </c>
      <c r="J11">
        <v>49</v>
      </c>
      <c r="K11">
        <v>110</v>
      </c>
      <c r="L11">
        <v>66</v>
      </c>
      <c r="M11">
        <v>13</v>
      </c>
      <c r="N11">
        <v>339</v>
      </c>
      <c r="O11">
        <v>170</v>
      </c>
      <c r="P11" t="s">
        <v>50</v>
      </c>
      <c r="Q11" t="s">
        <v>39</v>
      </c>
      <c r="R11">
        <v>81</v>
      </c>
      <c r="S11">
        <v>56</v>
      </c>
      <c r="T11">
        <v>48</v>
      </c>
      <c r="U11">
        <v>21</v>
      </c>
      <c r="V11">
        <v>0</v>
      </c>
      <c r="W11">
        <v>8</v>
      </c>
      <c r="X11">
        <v>33</v>
      </c>
    </row>
    <row r="12" spans="1:25" x14ac:dyDescent="0.3">
      <c r="A12" t="s">
        <v>51</v>
      </c>
      <c r="B12" t="s">
        <v>52</v>
      </c>
      <c r="C12">
        <v>2</v>
      </c>
      <c r="D12">
        <v>2023</v>
      </c>
      <c r="E12">
        <v>4</v>
      </c>
      <c r="F12">
        <v>17</v>
      </c>
      <c r="G12">
        <v>2876</v>
      </c>
      <c r="H12">
        <v>40</v>
      </c>
      <c r="I12">
        <v>505671438</v>
      </c>
      <c r="J12">
        <v>41</v>
      </c>
      <c r="K12">
        <v>205</v>
      </c>
      <c r="L12">
        <v>54</v>
      </c>
      <c r="M12">
        <v>12</v>
      </c>
      <c r="N12">
        <v>251</v>
      </c>
      <c r="O12">
        <v>83</v>
      </c>
      <c r="P12" t="s">
        <v>53</v>
      </c>
      <c r="Q12" t="s">
        <v>39</v>
      </c>
      <c r="R12">
        <v>57</v>
      </c>
      <c r="S12">
        <v>56</v>
      </c>
      <c r="T12">
        <v>72</v>
      </c>
      <c r="U12">
        <v>23</v>
      </c>
      <c r="V12">
        <v>0</v>
      </c>
      <c r="W12">
        <v>27</v>
      </c>
      <c r="X12">
        <v>5</v>
      </c>
    </row>
    <row r="13" spans="1:25" x14ac:dyDescent="0.3">
      <c r="A13" t="s">
        <v>54</v>
      </c>
      <c r="B13" t="s">
        <v>55</v>
      </c>
      <c r="C13">
        <v>1</v>
      </c>
      <c r="D13">
        <v>2023</v>
      </c>
      <c r="E13">
        <v>7</v>
      </c>
      <c r="F13">
        <v>7</v>
      </c>
      <c r="G13">
        <v>422</v>
      </c>
      <c r="H13">
        <v>55</v>
      </c>
      <c r="I13">
        <v>58255150</v>
      </c>
      <c r="J13">
        <v>37</v>
      </c>
      <c r="K13">
        <v>202</v>
      </c>
      <c r="L13">
        <v>21</v>
      </c>
      <c r="M13">
        <v>5</v>
      </c>
      <c r="N13">
        <v>168</v>
      </c>
      <c r="O13">
        <v>150</v>
      </c>
      <c r="P13" t="s">
        <v>33</v>
      </c>
      <c r="Q13" t="s">
        <v>39</v>
      </c>
      <c r="R13">
        <v>78</v>
      </c>
      <c r="S13">
        <v>52</v>
      </c>
      <c r="T13">
        <v>82</v>
      </c>
      <c r="U13">
        <v>18</v>
      </c>
      <c r="V13">
        <v>0</v>
      </c>
      <c r="W13">
        <v>15</v>
      </c>
      <c r="X13">
        <v>7</v>
      </c>
    </row>
    <row r="14" spans="1:25" x14ac:dyDescent="0.3">
      <c r="A14" t="s">
        <v>56</v>
      </c>
      <c r="B14" t="s">
        <v>57</v>
      </c>
      <c r="C14">
        <v>1</v>
      </c>
      <c r="D14">
        <v>2023</v>
      </c>
      <c r="E14">
        <v>1</v>
      </c>
      <c r="F14">
        <v>12</v>
      </c>
      <c r="G14">
        <v>12211</v>
      </c>
      <c r="H14">
        <v>115</v>
      </c>
      <c r="I14">
        <v>1316855716</v>
      </c>
      <c r="J14">
        <v>300</v>
      </c>
      <c r="K14">
        <v>215</v>
      </c>
      <c r="L14">
        <v>745</v>
      </c>
      <c r="M14">
        <v>58</v>
      </c>
      <c r="N14" s="1">
        <v>1021</v>
      </c>
      <c r="O14">
        <v>118</v>
      </c>
      <c r="Q14" t="s">
        <v>27</v>
      </c>
      <c r="R14">
        <v>71</v>
      </c>
      <c r="S14">
        <v>65</v>
      </c>
      <c r="T14">
        <v>68</v>
      </c>
      <c r="U14">
        <v>6</v>
      </c>
      <c r="V14">
        <v>0</v>
      </c>
      <c r="W14">
        <v>3</v>
      </c>
      <c r="X14">
        <v>7</v>
      </c>
    </row>
    <row r="15" spans="1:25" x14ac:dyDescent="0.3">
      <c r="A15" t="s">
        <v>58</v>
      </c>
      <c r="B15" t="s">
        <v>59</v>
      </c>
      <c r="C15">
        <v>1</v>
      </c>
      <c r="D15">
        <v>2023</v>
      </c>
      <c r="E15">
        <v>4</v>
      </c>
      <c r="F15">
        <v>14</v>
      </c>
      <c r="G15">
        <v>3528</v>
      </c>
      <c r="H15">
        <v>98</v>
      </c>
      <c r="I15">
        <v>30742</v>
      </c>
      <c r="J15">
        <v>80</v>
      </c>
      <c r="K15">
        <v>156</v>
      </c>
      <c r="L15">
        <v>182</v>
      </c>
      <c r="M15">
        <v>24</v>
      </c>
      <c r="N15" s="1">
        <v>1281</v>
      </c>
      <c r="O15">
        <v>130</v>
      </c>
      <c r="P15" t="s">
        <v>50</v>
      </c>
      <c r="Q15" t="s">
        <v>39</v>
      </c>
      <c r="R15">
        <v>51</v>
      </c>
      <c r="S15">
        <v>32</v>
      </c>
      <c r="T15">
        <v>43</v>
      </c>
      <c r="U15">
        <v>83</v>
      </c>
      <c r="V15">
        <v>0</v>
      </c>
      <c r="W15">
        <v>9</v>
      </c>
      <c r="X15">
        <v>3</v>
      </c>
    </row>
    <row r="16" spans="1:25" x14ac:dyDescent="0.3">
      <c r="A16" t="s">
        <v>60</v>
      </c>
      <c r="B16" t="s">
        <v>61</v>
      </c>
      <c r="C16">
        <v>1</v>
      </c>
      <c r="D16">
        <v>2022</v>
      </c>
      <c r="E16">
        <v>3</v>
      </c>
      <c r="F16">
        <v>31</v>
      </c>
      <c r="G16">
        <v>23575</v>
      </c>
      <c r="H16">
        <v>130</v>
      </c>
      <c r="I16">
        <v>2513188493</v>
      </c>
      <c r="J16">
        <v>403</v>
      </c>
      <c r="K16">
        <v>198</v>
      </c>
      <c r="L16">
        <v>863</v>
      </c>
      <c r="M16">
        <v>46</v>
      </c>
      <c r="O16">
        <v>174</v>
      </c>
      <c r="P16" t="s">
        <v>53</v>
      </c>
      <c r="Q16" t="s">
        <v>39</v>
      </c>
      <c r="R16">
        <v>52</v>
      </c>
      <c r="S16">
        <v>66</v>
      </c>
      <c r="T16">
        <v>73</v>
      </c>
      <c r="U16">
        <v>34</v>
      </c>
      <c r="V16">
        <v>0</v>
      </c>
      <c r="W16">
        <v>31</v>
      </c>
      <c r="X16">
        <v>6</v>
      </c>
    </row>
    <row r="17" spans="1:24" x14ac:dyDescent="0.3">
      <c r="A17" t="s">
        <v>62</v>
      </c>
      <c r="B17" t="s">
        <v>63</v>
      </c>
      <c r="C17">
        <v>1</v>
      </c>
      <c r="D17">
        <v>2022</v>
      </c>
      <c r="E17">
        <v>12</v>
      </c>
      <c r="F17">
        <v>8</v>
      </c>
      <c r="G17">
        <v>8109</v>
      </c>
      <c r="H17">
        <v>77</v>
      </c>
      <c r="I17">
        <v>1163093654</v>
      </c>
      <c r="J17">
        <v>183</v>
      </c>
      <c r="K17">
        <v>162</v>
      </c>
      <c r="L17">
        <v>161</v>
      </c>
      <c r="M17">
        <v>12</v>
      </c>
      <c r="N17">
        <v>187</v>
      </c>
      <c r="O17">
        <v>89</v>
      </c>
      <c r="P17" t="s">
        <v>64</v>
      </c>
      <c r="Q17" t="s">
        <v>27</v>
      </c>
      <c r="R17">
        <v>64</v>
      </c>
      <c r="S17">
        <v>43</v>
      </c>
      <c r="T17">
        <v>73</v>
      </c>
      <c r="U17">
        <v>5</v>
      </c>
      <c r="V17">
        <v>17</v>
      </c>
      <c r="W17">
        <v>16</v>
      </c>
      <c r="X17">
        <v>4</v>
      </c>
    </row>
    <row r="18" spans="1:24" x14ac:dyDescent="0.3">
      <c r="A18" t="s">
        <v>65</v>
      </c>
      <c r="B18" t="s">
        <v>66</v>
      </c>
      <c r="C18">
        <v>1</v>
      </c>
      <c r="D18">
        <v>2023</v>
      </c>
      <c r="E18">
        <v>2</v>
      </c>
      <c r="F18">
        <v>24</v>
      </c>
      <c r="G18">
        <v>2942</v>
      </c>
      <c r="H18">
        <v>77</v>
      </c>
      <c r="I18">
        <v>496795686</v>
      </c>
      <c r="J18">
        <v>91</v>
      </c>
      <c r="K18">
        <v>212</v>
      </c>
      <c r="L18">
        <v>78</v>
      </c>
      <c r="M18">
        <v>6</v>
      </c>
      <c r="N18">
        <v>0</v>
      </c>
      <c r="O18">
        <v>120</v>
      </c>
      <c r="P18" t="s">
        <v>26</v>
      </c>
      <c r="Q18" t="s">
        <v>39</v>
      </c>
      <c r="R18">
        <v>78</v>
      </c>
      <c r="S18">
        <v>76</v>
      </c>
      <c r="T18">
        <v>59</v>
      </c>
      <c r="U18">
        <v>43</v>
      </c>
      <c r="V18">
        <v>0</v>
      </c>
      <c r="W18">
        <v>34</v>
      </c>
      <c r="X18">
        <v>3</v>
      </c>
    </row>
    <row r="19" spans="1:24" x14ac:dyDescent="0.3">
      <c r="A19" t="s">
        <v>126</v>
      </c>
      <c r="B19" t="s">
        <v>67</v>
      </c>
      <c r="C19">
        <v>1</v>
      </c>
      <c r="D19">
        <v>2023</v>
      </c>
      <c r="E19">
        <v>7</v>
      </c>
      <c r="F19">
        <v>13</v>
      </c>
      <c r="G19">
        <v>873</v>
      </c>
      <c r="H19">
        <v>104</v>
      </c>
      <c r="I19">
        <v>30546883</v>
      </c>
      <c r="J19">
        <v>80</v>
      </c>
      <c r="K19">
        <v>227</v>
      </c>
      <c r="L19">
        <v>95</v>
      </c>
      <c r="M19">
        <v>24</v>
      </c>
      <c r="N19" s="1">
        <v>1173</v>
      </c>
      <c r="O19">
        <v>78</v>
      </c>
      <c r="Q19" t="s">
        <v>27</v>
      </c>
      <c r="R19">
        <v>44</v>
      </c>
      <c r="S19">
        <v>14</v>
      </c>
      <c r="T19">
        <v>9</v>
      </c>
      <c r="U19">
        <v>96</v>
      </c>
      <c r="V19">
        <v>0</v>
      </c>
      <c r="W19">
        <v>10</v>
      </c>
      <c r="X19">
        <v>3</v>
      </c>
    </row>
    <row r="20" spans="1:24" x14ac:dyDescent="0.3">
      <c r="A20" t="s">
        <v>68</v>
      </c>
      <c r="B20" t="s">
        <v>69</v>
      </c>
      <c r="C20">
        <v>2</v>
      </c>
      <c r="D20">
        <v>2023</v>
      </c>
      <c r="E20">
        <v>3</v>
      </c>
      <c r="F20">
        <v>31</v>
      </c>
      <c r="G20">
        <v>2610</v>
      </c>
      <c r="H20">
        <v>40</v>
      </c>
      <c r="I20">
        <v>335222234</v>
      </c>
      <c r="J20">
        <v>43</v>
      </c>
      <c r="K20">
        <v>100</v>
      </c>
      <c r="L20">
        <v>54</v>
      </c>
      <c r="M20">
        <v>14</v>
      </c>
      <c r="N20">
        <v>187</v>
      </c>
      <c r="O20">
        <v>100</v>
      </c>
      <c r="P20" t="s">
        <v>26</v>
      </c>
      <c r="Q20" t="s">
        <v>27</v>
      </c>
      <c r="R20">
        <v>86</v>
      </c>
      <c r="S20">
        <v>67</v>
      </c>
      <c r="T20">
        <v>66</v>
      </c>
      <c r="U20">
        <v>14</v>
      </c>
      <c r="V20">
        <v>0</v>
      </c>
      <c r="W20">
        <v>12</v>
      </c>
      <c r="X20">
        <v>16</v>
      </c>
    </row>
    <row r="21" spans="1:24" x14ac:dyDescent="0.3">
      <c r="A21" t="s">
        <v>70</v>
      </c>
      <c r="B21" t="s">
        <v>71</v>
      </c>
      <c r="C21">
        <v>1</v>
      </c>
      <c r="D21">
        <v>2023</v>
      </c>
      <c r="E21">
        <v>3</v>
      </c>
      <c r="F21">
        <v>24</v>
      </c>
      <c r="G21">
        <v>596</v>
      </c>
      <c r="H21">
        <v>68</v>
      </c>
      <c r="I21">
        <v>363369738</v>
      </c>
      <c r="J21">
        <v>8</v>
      </c>
      <c r="K21">
        <v>104</v>
      </c>
      <c r="L21">
        <v>23</v>
      </c>
      <c r="M21">
        <v>2</v>
      </c>
      <c r="N21">
        <v>29</v>
      </c>
      <c r="O21">
        <v>120</v>
      </c>
      <c r="P21" t="s">
        <v>72</v>
      </c>
      <c r="Q21" t="s">
        <v>27</v>
      </c>
      <c r="R21">
        <v>63</v>
      </c>
      <c r="S21">
        <v>36</v>
      </c>
      <c r="T21">
        <v>73</v>
      </c>
      <c r="U21">
        <v>0</v>
      </c>
      <c r="V21">
        <v>0</v>
      </c>
      <c r="W21">
        <v>36</v>
      </c>
      <c r="X21">
        <v>4</v>
      </c>
    </row>
    <row r="22" spans="1:24" x14ac:dyDescent="0.3">
      <c r="A22" t="s">
        <v>73</v>
      </c>
      <c r="B22" t="s">
        <v>74</v>
      </c>
      <c r="C22">
        <v>3</v>
      </c>
      <c r="D22">
        <v>2023</v>
      </c>
      <c r="E22">
        <v>6</v>
      </c>
      <c r="F22">
        <v>22</v>
      </c>
      <c r="G22">
        <v>332</v>
      </c>
      <c r="H22">
        <v>26</v>
      </c>
      <c r="I22">
        <v>86444842</v>
      </c>
      <c r="J22">
        <v>11</v>
      </c>
      <c r="K22">
        <v>163</v>
      </c>
      <c r="L22">
        <v>10</v>
      </c>
      <c r="M22">
        <v>4</v>
      </c>
      <c r="N22">
        <v>0</v>
      </c>
      <c r="O22">
        <v>140</v>
      </c>
      <c r="P22" t="s">
        <v>33</v>
      </c>
      <c r="Q22" t="s">
        <v>39</v>
      </c>
      <c r="R22">
        <v>65</v>
      </c>
      <c r="S22">
        <v>87</v>
      </c>
      <c r="T22">
        <v>74</v>
      </c>
      <c r="U22">
        <v>22</v>
      </c>
      <c r="V22">
        <v>0</v>
      </c>
      <c r="W22">
        <v>42</v>
      </c>
      <c r="X22">
        <v>4</v>
      </c>
    </row>
    <row r="23" spans="1:24" x14ac:dyDescent="0.3">
      <c r="A23" t="s">
        <v>125</v>
      </c>
      <c r="B23" t="s">
        <v>35</v>
      </c>
      <c r="C23">
        <v>1</v>
      </c>
      <c r="D23">
        <v>2023</v>
      </c>
      <c r="E23">
        <v>7</v>
      </c>
      <c r="F23">
        <v>7</v>
      </c>
      <c r="G23">
        <v>516</v>
      </c>
      <c r="H23">
        <v>38</v>
      </c>
      <c r="I23">
        <v>52135248</v>
      </c>
      <c r="J23">
        <v>73</v>
      </c>
      <c r="K23">
        <v>119</v>
      </c>
      <c r="L23">
        <v>42</v>
      </c>
      <c r="M23">
        <v>1</v>
      </c>
      <c r="N23">
        <v>150</v>
      </c>
      <c r="O23">
        <v>123</v>
      </c>
      <c r="P23" t="s">
        <v>53</v>
      </c>
      <c r="Q23" t="s">
        <v>27</v>
      </c>
      <c r="R23">
        <v>69</v>
      </c>
      <c r="S23">
        <v>82</v>
      </c>
      <c r="T23">
        <v>76</v>
      </c>
      <c r="U23">
        <v>6</v>
      </c>
      <c r="V23">
        <v>0</v>
      </c>
      <c r="W23">
        <v>6</v>
      </c>
      <c r="X23">
        <v>3</v>
      </c>
    </row>
    <row r="24" spans="1:24" x14ac:dyDescent="0.3">
      <c r="A24" t="s">
        <v>75</v>
      </c>
      <c r="B24" t="s">
        <v>76</v>
      </c>
      <c r="C24">
        <v>1</v>
      </c>
      <c r="D24">
        <v>2013</v>
      </c>
      <c r="E24">
        <v>1</v>
      </c>
      <c r="F24">
        <v>1</v>
      </c>
      <c r="G24">
        <v>12859</v>
      </c>
      <c r="H24">
        <v>110</v>
      </c>
      <c r="I24">
        <v>1297026226</v>
      </c>
      <c r="J24">
        <v>24</v>
      </c>
      <c r="K24">
        <v>98</v>
      </c>
      <c r="L24">
        <v>582</v>
      </c>
      <c r="M24">
        <v>2</v>
      </c>
      <c r="N24">
        <v>73</v>
      </c>
      <c r="O24">
        <v>135</v>
      </c>
      <c r="Q24" t="s">
        <v>39</v>
      </c>
      <c r="R24">
        <v>48</v>
      </c>
      <c r="S24">
        <v>44</v>
      </c>
      <c r="T24">
        <v>42</v>
      </c>
      <c r="U24">
        <v>12</v>
      </c>
      <c r="V24">
        <v>2</v>
      </c>
      <c r="W24">
        <v>11</v>
      </c>
      <c r="X24">
        <v>3</v>
      </c>
    </row>
    <row r="25" spans="1:24" x14ac:dyDescent="0.3">
      <c r="A25" t="s">
        <v>77</v>
      </c>
      <c r="B25" t="s">
        <v>78</v>
      </c>
      <c r="C25">
        <v>2</v>
      </c>
      <c r="D25">
        <v>2023</v>
      </c>
      <c r="E25">
        <v>5</v>
      </c>
      <c r="F25">
        <v>31</v>
      </c>
      <c r="G25">
        <v>1313</v>
      </c>
      <c r="H25">
        <v>40</v>
      </c>
      <c r="I25">
        <v>200647221</v>
      </c>
      <c r="J25">
        <v>17</v>
      </c>
      <c r="K25">
        <v>152</v>
      </c>
      <c r="L25">
        <v>32</v>
      </c>
      <c r="M25">
        <v>11</v>
      </c>
      <c r="N25">
        <v>139</v>
      </c>
      <c r="O25">
        <v>133</v>
      </c>
      <c r="P25" t="s">
        <v>33</v>
      </c>
      <c r="Q25" t="s">
        <v>39</v>
      </c>
      <c r="R25">
        <v>85</v>
      </c>
      <c r="S25">
        <v>81</v>
      </c>
      <c r="T25">
        <v>67</v>
      </c>
      <c r="U25">
        <v>26</v>
      </c>
      <c r="V25">
        <v>0</v>
      </c>
      <c r="W25">
        <v>12</v>
      </c>
      <c r="X25">
        <v>5</v>
      </c>
    </row>
    <row r="26" spans="1:24" x14ac:dyDescent="0.3">
      <c r="A26" t="s">
        <v>124</v>
      </c>
      <c r="B26" t="s">
        <v>79</v>
      </c>
      <c r="C26">
        <v>3</v>
      </c>
      <c r="D26">
        <v>2023</v>
      </c>
      <c r="E26">
        <v>6</v>
      </c>
      <c r="F26">
        <v>2</v>
      </c>
      <c r="G26">
        <v>1945</v>
      </c>
      <c r="H26">
        <v>87</v>
      </c>
      <c r="I26">
        <v>115364561</v>
      </c>
      <c r="J26">
        <v>74</v>
      </c>
      <c r="K26">
        <v>182</v>
      </c>
      <c r="L26">
        <v>87</v>
      </c>
      <c r="M26">
        <v>14</v>
      </c>
      <c r="N26" s="1">
        <v>1093</v>
      </c>
      <c r="O26">
        <v>99</v>
      </c>
      <c r="P26" t="s">
        <v>30</v>
      </c>
      <c r="Q26" t="s">
        <v>27</v>
      </c>
      <c r="R26">
        <v>85</v>
      </c>
      <c r="S26">
        <v>83</v>
      </c>
      <c r="T26">
        <v>68</v>
      </c>
      <c r="U26">
        <v>7</v>
      </c>
      <c r="V26">
        <v>0</v>
      </c>
      <c r="W26">
        <v>36</v>
      </c>
      <c r="X26">
        <v>20</v>
      </c>
    </row>
    <row r="27" spans="1:24" x14ac:dyDescent="0.3">
      <c r="A27" t="s">
        <v>80</v>
      </c>
      <c r="B27" t="s">
        <v>81</v>
      </c>
      <c r="C27">
        <v>1</v>
      </c>
      <c r="D27">
        <v>2023</v>
      </c>
      <c r="E27">
        <v>6</v>
      </c>
      <c r="F27">
        <v>22</v>
      </c>
      <c r="G27">
        <v>250</v>
      </c>
      <c r="H27">
        <v>26</v>
      </c>
      <c r="I27">
        <v>78300654</v>
      </c>
      <c r="J27">
        <v>16</v>
      </c>
      <c r="K27">
        <v>149</v>
      </c>
      <c r="L27">
        <v>10</v>
      </c>
      <c r="M27">
        <v>5</v>
      </c>
      <c r="N27">
        <v>168</v>
      </c>
      <c r="O27">
        <v>130</v>
      </c>
      <c r="P27" t="s">
        <v>72</v>
      </c>
      <c r="Q27" t="s">
        <v>39</v>
      </c>
      <c r="R27">
        <v>79</v>
      </c>
      <c r="S27">
        <v>96</v>
      </c>
      <c r="T27">
        <v>86</v>
      </c>
      <c r="U27">
        <v>9</v>
      </c>
      <c r="V27">
        <v>0</v>
      </c>
      <c r="W27">
        <v>9</v>
      </c>
      <c r="X27">
        <v>9</v>
      </c>
    </row>
    <row r="28" spans="1:24" x14ac:dyDescent="0.3">
      <c r="A28" t="s">
        <v>82</v>
      </c>
      <c r="B28" t="s">
        <v>83</v>
      </c>
      <c r="C28">
        <v>2</v>
      </c>
      <c r="D28">
        <v>2022</v>
      </c>
      <c r="E28">
        <v>3</v>
      </c>
      <c r="F28">
        <v>25</v>
      </c>
      <c r="G28">
        <v>7112</v>
      </c>
      <c r="H28">
        <v>77</v>
      </c>
      <c r="I28">
        <v>899183384</v>
      </c>
      <c r="J28">
        <v>202</v>
      </c>
      <c r="K28">
        <v>119</v>
      </c>
      <c r="L28">
        <v>318</v>
      </c>
      <c r="M28">
        <v>38</v>
      </c>
      <c r="N28">
        <v>96</v>
      </c>
      <c r="O28">
        <v>107</v>
      </c>
      <c r="P28" t="s">
        <v>26</v>
      </c>
      <c r="Q28" t="s">
        <v>27</v>
      </c>
      <c r="R28">
        <v>80</v>
      </c>
      <c r="S28">
        <v>82</v>
      </c>
      <c r="T28">
        <v>80</v>
      </c>
      <c r="U28">
        <v>43</v>
      </c>
      <c r="V28">
        <v>0</v>
      </c>
      <c r="W28">
        <v>14</v>
      </c>
      <c r="X28">
        <v>4</v>
      </c>
    </row>
    <row r="29" spans="1:24" x14ac:dyDescent="0.3">
      <c r="A29" t="s">
        <v>84</v>
      </c>
      <c r="B29" t="s">
        <v>85</v>
      </c>
      <c r="C29">
        <v>2</v>
      </c>
      <c r="D29">
        <v>2023</v>
      </c>
      <c r="E29">
        <v>6</v>
      </c>
      <c r="F29">
        <v>29</v>
      </c>
      <c r="G29">
        <v>859</v>
      </c>
      <c r="H29">
        <v>40</v>
      </c>
      <c r="I29">
        <v>61245289</v>
      </c>
      <c r="J29">
        <v>35</v>
      </c>
      <c r="K29">
        <v>109</v>
      </c>
      <c r="L29">
        <v>41</v>
      </c>
      <c r="M29">
        <v>14</v>
      </c>
      <c r="N29">
        <v>211</v>
      </c>
      <c r="O29">
        <v>122</v>
      </c>
      <c r="P29" t="s">
        <v>53</v>
      </c>
      <c r="Q29" t="s">
        <v>39</v>
      </c>
      <c r="R29">
        <v>81</v>
      </c>
      <c r="S29">
        <v>74</v>
      </c>
      <c r="T29">
        <v>71</v>
      </c>
      <c r="U29">
        <v>14</v>
      </c>
      <c r="V29">
        <v>0</v>
      </c>
      <c r="W29">
        <v>56</v>
      </c>
      <c r="X29">
        <v>4</v>
      </c>
    </row>
    <row r="30" spans="1:24" x14ac:dyDescent="0.3">
      <c r="A30" t="s">
        <v>86</v>
      </c>
      <c r="B30" t="s">
        <v>87</v>
      </c>
      <c r="C30">
        <v>1</v>
      </c>
      <c r="D30">
        <v>2023</v>
      </c>
      <c r="E30">
        <v>1</v>
      </c>
      <c r="F30">
        <v>31</v>
      </c>
      <c r="G30">
        <v>2420</v>
      </c>
      <c r="H30">
        <v>19</v>
      </c>
      <c r="I30">
        <v>429829812</v>
      </c>
      <c r="J30">
        <v>52</v>
      </c>
      <c r="K30">
        <v>107</v>
      </c>
      <c r="L30">
        <v>15</v>
      </c>
      <c r="M30">
        <v>1</v>
      </c>
      <c r="N30">
        <v>325</v>
      </c>
      <c r="O30">
        <v>204</v>
      </c>
      <c r="P30" t="s">
        <v>53</v>
      </c>
      <c r="Q30" t="s">
        <v>27</v>
      </c>
      <c r="R30">
        <v>52</v>
      </c>
      <c r="S30">
        <v>52</v>
      </c>
      <c r="T30">
        <v>68</v>
      </c>
      <c r="U30">
        <v>46</v>
      </c>
      <c r="V30">
        <v>0</v>
      </c>
      <c r="W30">
        <v>15</v>
      </c>
      <c r="X30">
        <v>4</v>
      </c>
    </row>
    <row r="31" spans="1:24" x14ac:dyDescent="0.3">
      <c r="A31" t="s">
        <v>88</v>
      </c>
      <c r="B31" t="s">
        <v>89</v>
      </c>
      <c r="C31">
        <v>1</v>
      </c>
      <c r="D31">
        <v>2023</v>
      </c>
      <c r="E31">
        <v>5</v>
      </c>
      <c r="F31">
        <v>25</v>
      </c>
      <c r="G31">
        <v>2988</v>
      </c>
      <c r="H31">
        <v>101</v>
      </c>
      <c r="I31">
        <v>127408954</v>
      </c>
      <c r="J31">
        <v>0</v>
      </c>
      <c r="K31">
        <v>0</v>
      </c>
      <c r="L31">
        <v>143</v>
      </c>
      <c r="M31">
        <v>38</v>
      </c>
      <c r="N31">
        <v>0</v>
      </c>
      <c r="O31">
        <v>110</v>
      </c>
      <c r="P31" t="s">
        <v>26</v>
      </c>
      <c r="Q31" t="s">
        <v>39</v>
      </c>
      <c r="R31">
        <v>67</v>
      </c>
      <c r="S31">
        <v>78</v>
      </c>
      <c r="T31">
        <v>85</v>
      </c>
      <c r="U31">
        <v>2</v>
      </c>
      <c r="V31">
        <v>0</v>
      </c>
      <c r="W31">
        <v>33</v>
      </c>
      <c r="X31">
        <v>5</v>
      </c>
    </row>
    <row r="32" spans="1:24" x14ac:dyDescent="0.3">
      <c r="A32" t="s">
        <v>90</v>
      </c>
      <c r="B32" t="s">
        <v>91</v>
      </c>
      <c r="C32">
        <v>1</v>
      </c>
      <c r="D32">
        <v>2023</v>
      </c>
      <c r="E32">
        <v>7</v>
      </c>
      <c r="F32">
        <v>13</v>
      </c>
      <c r="G32">
        <v>864</v>
      </c>
      <c r="H32">
        <v>78</v>
      </c>
      <c r="I32">
        <v>22581161</v>
      </c>
      <c r="J32">
        <v>71</v>
      </c>
      <c r="K32">
        <v>135</v>
      </c>
      <c r="L32">
        <v>50</v>
      </c>
      <c r="M32">
        <v>1</v>
      </c>
      <c r="N32">
        <v>294</v>
      </c>
      <c r="O32">
        <v>126</v>
      </c>
      <c r="P32" t="s">
        <v>33</v>
      </c>
      <c r="Q32" t="s">
        <v>39</v>
      </c>
      <c r="R32">
        <v>74</v>
      </c>
      <c r="S32">
        <v>35</v>
      </c>
      <c r="T32">
        <v>84</v>
      </c>
      <c r="U32">
        <v>0</v>
      </c>
      <c r="V32">
        <v>0</v>
      </c>
      <c r="W32">
        <v>11</v>
      </c>
      <c r="X32">
        <v>6</v>
      </c>
    </row>
    <row r="33" spans="1:24" x14ac:dyDescent="0.3">
      <c r="A33" t="s">
        <v>92</v>
      </c>
      <c r="B33" t="s">
        <v>93</v>
      </c>
      <c r="C33">
        <v>2</v>
      </c>
      <c r="D33">
        <v>2023</v>
      </c>
      <c r="E33">
        <v>6</v>
      </c>
      <c r="F33">
        <v>28</v>
      </c>
      <c r="G33">
        <v>266</v>
      </c>
      <c r="H33">
        <v>34</v>
      </c>
      <c r="I33">
        <v>52294266</v>
      </c>
      <c r="J33">
        <v>20</v>
      </c>
      <c r="K33">
        <v>185</v>
      </c>
      <c r="L33">
        <v>13</v>
      </c>
      <c r="M33">
        <v>8</v>
      </c>
      <c r="N33">
        <v>197</v>
      </c>
      <c r="O33">
        <v>168</v>
      </c>
      <c r="P33" t="s">
        <v>53</v>
      </c>
      <c r="Q33" t="s">
        <v>27</v>
      </c>
      <c r="R33">
        <v>56</v>
      </c>
      <c r="S33">
        <v>63</v>
      </c>
      <c r="T33">
        <v>87</v>
      </c>
      <c r="U33">
        <v>39</v>
      </c>
      <c r="V33">
        <v>0</v>
      </c>
      <c r="W33">
        <v>11</v>
      </c>
      <c r="X33">
        <v>5</v>
      </c>
    </row>
    <row r="34" spans="1:24" x14ac:dyDescent="0.3">
      <c r="A34" t="s">
        <v>94</v>
      </c>
      <c r="B34" t="s">
        <v>95</v>
      </c>
      <c r="C34">
        <v>3</v>
      </c>
      <c r="D34">
        <v>2022</v>
      </c>
      <c r="E34">
        <v>12</v>
      </c>
      <c r="F34">
        <v>2</v>
      </c>
      <c r="G34">
        <v>6036</v>
      </c>
      <c r="H34">
        <v>88</v>
      </c>
      <c r="I34">
        <v>843957510</v>
      </c>
      <c r="J34">
        <v>113</v>
      </c>
      <c r="K34">
        <v>149</v>
      </c>
      <c r="L34">
        <v>245</v>
      </c>
      <c r="M34">
        <v>23</v>
      </c>
      <c r="N34">
        <v>27</v>
      </c>
      <c r="O34">
        <v>98</v>
      </c>
      <c r="P34" t="s">
        <v>30</v>
      </c>
      <c r="Q34" t="s">
        <v>39</v>
      </c>
      <c r="R34">
        <v>71</v>
      </c>
      <c r="S34">
        <v>17</v>
      </c>
      <c r="T34">
        <v>61</v>
      </c>
      <c r="U34">
        <v>36</v>
      </c>
      <c r="V34">
        <v>0</v>
      </c>
      <c r="W34">
        <v>8</v>
      </c>
      <c r="X34">
        <v>5</v>
      </c>
    </row>
    <row r="35" spans="1:24" x14ac:dyDescent="0.3">
      <c r="A35" t="s">
        <v>96</v>
      </c>
      <c r="B35" t="s">
        <v>35</v>
      </c>
      <c r="C35">
        <v>1</v>
      </c>
      <c r="D35">
        <v>2022</v>
      </c>
      <c r="E35">
        <v>10</v>
      </c>
      <c r="F35">
        <v>21</v>
      </c>
      <c r="G35">
        <v>9082</v>
      </c>
      <c r="H35">
        <v>56</v>
      </c>
      <c r="I35">
        <v>999748277</v>
      </c>
      <c r="J35">
        <v>242</v>
      </c>
      <c r="K35">
        <v>142</v>
      </c>
      <c r="L35">
        <v>165</v>
      </c>
      <c r="M35">
        <v>9</v>
      </c>
      <c r="N35">
        <v>310</v>
      </c>
      <c r="O35">
        <v>97</v>
      </c>
      <c r="P35" t="s">
        <v>97</v>
      </c>
      <c r="Q35" t="s">
        <v>27</v>
      </c>
      <c r="R35">
        <v>64</v>
      </c>
      <c r="S35">
        <v>51</v>
      </c>
      <c r="T35">
        <v>63</v>
      </c>
      <c r="U35">
        <v>12</v>
      </c>
      <c r="V35">
        <v>0</v>
      </c>
      <c r="W35">
        <v>19</v>
      </c>
      <c r="X35">
        <v>5</v>
      </c>
    </row>
    <row r="36" spans="1:24" x14ac:dyDescent="0.3">
      <c r="A36" t="s">
        <v>98</v>
      </c>
      <c r="B36" t="s">
        <v>99</v>
      </c>
      <c r="C36">
        <v>2</v>
      </c>
      <c r="D36">
        <v>2023</v>
      </c>
      <c r="E36">
        <v>2</v>
      </c>
      <c r="F36">
        <v>23</v>
      </c>
      <c r="G36">
        <v>4284</v>
      </c>
      <c r="H36">
        <v>49</v>
      </c>
      <c r="I36">
        <v>618990393</v>
      </c>
      <c r="J36">
        <v>115</v>
      </c>
      <c r="K36">
        <v>123</v>
      </c>
      <c r="L36">
        <v>184</v>
      </c>
      <c r="M36">
        <v>18</v>
      </c>
      <c r="N36">
        <v>354</v>
      </c>
      <c r="O36">
        <v>180</v>
      </c>
      <c r="P36" t="s">
        <v>97</v>
      </c>
      <c r="Q36" t="s">
        <v>39</v>
      </c>
      <c r="R36">
        <v>72</v>
      </c>
      <c r="S36">
        <v>61</v>
      </c>
      <c r="T36">
        <v>63</v>
      </c>
      <c r="U36">
        <v>67</v>
      </c>
      <c r="V36">
        <v>0</v>
      </c>
      <c r="W36">
        <v>9</v>
      </c>
      <c r="X36">
        <v>28</v>
      </c>
    </row>
    <row r="37" spans="1:24" x14ac:dyDescent="0.3">
      <c r="A37" t="s">
        <v>100</v>
      </c>
      <c r="B37" t="s">
        <v>101</v>
      </c>
      <c r="C37">
        <v>8</v>
      </c>
      <c r="D37">
        <v>2023</v>
      </c>
      <c r="E37">
        <v>6</v>
      </c>
      <c r="F37">
        <v>1</v>
      </c>
      <c r="G37">
        <v>1150</v>
      </c>
      <c r="H37">
        <v>31</v>
      </c>
      <c r="I37">
        <v>123122413</v>
      </c>
      <c r="J37">
        <v>22</v>
      </c>
      <c r="K37">
        <v>33</v>
      </c>
      <c r="L37">
        <v>34</v>
      </c>
      <c r="M37">
        <v>7</v>
      </c>
      <c r="N37">
        <v>184</v>
      </c>
      <c r="O37">
        <v>120</v>
      </c>
      <c r="Q37" t="s">
        <v>27</v>
      </c>
      <c r="R37">
        <v>81</v>
      </c>
      <c r="S37">
        <v>63</v>
      </c>
      <c r="T37">
        <v>68</v>
      </c>
      <c r="U37">
        <v>11</v>
      </c>
      <c r="V37">
        <v>0</v>
      </c>
      <c r="W37">
        <v>11</v>
      </c>
      <c r="X37">
        <v>4</v>
      </c>
    </row>
    <row r="38" spans="1:24" x14ac:dyDescent="0.3">
      <c r="A38" t="s">
        <v>102</v>
      </c>
      <c r="B38" t="s">
        <v>103</v>
      </c>
      <c r="C38">
        <v>2</v>
      </c>
      <c r="D38">
        <v>2023</v>
      </c>
      <c r="E38">
        <v>4</v>
      </c>
      <c r="F38">
        <v>7</v>
      </c>
      <c r="G38">
        <v>672</v>
      </c>
      <c r="H38">
        <v>34</v>
      </c>
      <c r="I38">
        <v>188933502</v>
      </c>
      <c r="J38">
        <v>19</v>
      </c>
      <c r="K38">
        <v>108</v>
      </c>
      <c r="L38">
        <v>24</v>
      </c>
      <c r="M38">
        <v>9</v>
      </c>
      <c r="N38">
        <v>212</v>
      </c>
      <c r="O38">
        <v>150</v>
      </c>
      <c r="P38" t="s">
        <v>53</v>
      </c>
      <c r="Q38" t="s">
        <v>27</v>
      </c>
      <c r="R38">
        <v>61</v>
      </c>
      <c r="S38">
        <v>39</v>
      </c>
      <c r="T38">
        <v>73</v>
      </c>
      <c r="U38">
        <v>37</v>
      </c>
      <c r="V38">
        <v>0</v>
      </c>
      <c r="W38">
        <v>11</v>
      </c>
      <c r="X38">
        <v>3</v>
      </c>
    </row>
    <row r="39" spans="1:24" x14ac:dyDescent="0.3">
      <c r="A39" t="s">
        <v>104</v>
      </c>
      <c r="B39" t="s">
        <v>35</v>
      </c>
      <c r="C39">
        <v>1</v>
      </c>
      <c r="D39">
        <v>2014</v>
      </c>
      <c r="E39">
        <v>1</v>
      </c>
      <c r="F39">
        <v>1</v>
      </c>
      <c r="G39">
        <v>11434</v>
      </c>
      <c r="H39">
        <v>53</v>
      </c>
      <c r="I39">
        <v>1355959075</v>
      </c>
      <c r="J39">
        <v>154</v>
      </c>
      <c r="K39">
        <v>123</v>
      </c>
      <c r="L39">
        <v>410</v>
      </c>
      <c r="M39">
        <v>2</v>
      </c>
      <c r="N39">
        <v>81</v>
      </c>
      <c r="O39">
        <v>96</v>
      </c>
      <c r="P39" t="s">
        <v>33</v>
      </c>
      <c r="Q39" t="s">
        <v>27</v>
      </c>
      <c r="R39">
        <v>75</v>
      </c>
      <c r="S39">
        <v>57</v>
      </c>
      <c r="T39">
        <v>68</v>
      </c>
      <c r="U39">
        <v>9</v>
      </c>
      <c r="V39">
        <v>0</v>
      </c>
      <c r="W39">
        <v>13</v>
      </c>
      <c r="X39">
        <v>6</v>
      </c>
    </row>
    <row r="40" spans="1:24" x14ac:dyDescent="0.3">
      <c r="A40" t="s">
        <v>105</v>
      </c>
      <c r="B40" t="s">
        <v>35</v>
      </c>
      <c r="C40">
        <v>1</v>
      </c>
      <c r="D40">
        <v>2014</v>
      </c>
      <c r="E40">
        <v>1</v>
      </c>
      <c r="F40">
        <v>1</v>
      </c>
      <c r="G40">
        <v>7830</v>
      </c>
      <c r="H40">
        <v>42</v>
      </c>
      <c r="I40">
        <v>786181836</v>
      </c>
      <c r="J40">
        <v>94</v>
      </c>
      <c r="K40">
        <v>111</v>
      </c>
      <c r="L40">
        <v>151</v>
      </c>
      <c r="M40">
        <v>4</v>
      </c>
      <c r="N40">
        <v>82</v>
      </c>
      <c r="O40">
        <v>95</v>
      </c>
      <c r="P40" t="s">
        <v>50</v>
      </c>
      <c r="Q40" t="s">
        <v>27</v>
      </c>
      <c r="R40">
        <v>60</v>
      </c>
      <c r="S40">
        <v>48</v>
      </c>
      <c r="T40">
        <v>79</v>
      </c>
      <c r="U40">
        <v>0</v>
      </c>
      <c r="V40">
        <v>0</v>
      </c>
      <c r="W40">
        <v>12</v>
      </c>
      <c r="X40">
        <v>4</v>
      </c>
    </row>
    <row r="41" spans="1:24" x14ac:dyDescent="0.3">
      <c r="A41" t="s">
        <v>106</v>
      </c>
      <c r="B41" t="s">
        <v>81</v>
      </c>
      <c r="C41">
        <v>1</v>
      </c>
      <c r="D41">
        <v>2023</v>
      </c>
      <c r="E41">
        <v>5</v>
      </c>
      <c r="F41">
        <v>19</v>
      </c>
      <c r="G41">
        <v>584</v>
      </c>
      <c r="H41">
        <v>28</v>
      </c>
      <c r="I41">
        <v>176553476</v>
      </c>
      <c r="J41">
        <v>16</v>
      </c>
      <c r="K41">
        <v>159</v>
      </c>
      <c r="L41">
        <v>15</v>
      </c>
      <c r="M41">
        <v>6</v>
      </c>
      <c r="N41">
        <v>100</v>
      </c>
      <c r="O41">
        <v>125</v>
      </c>
      <c r="P41" t="s">
        <v>33</v>
      </c>
      <c r="Q41" t="s">
        <v>39</v>
      </c>
      <c r="R41">
        <v>79</v>
      </c>
      <c r="S41">
        <v>96</v>
      </c>
      <c r="T41">
        <v>85</v>
      </c>
      <c r="U41">
        <v>27</v>
      </c>
      <c r="V41">
        <v>0</v>
      </c>
      <c r="W41">
        <v>11</v>
      </c>
      <c r="X41">
        <v>6</v>
      </c>
    </row>
    <row r="42" spans="1:24" x14ac:dyDescent="0.3">
      <c r="A42" t="s">
        <v>107</v>
      </c>
      <c r="B42" t="s">
        <v>108</v>
      </c>
      <c r="C42">
        <v>2</v>
      </c>
      <c r="D42">
        <v>2023</v>
      </c>
      <c r="E42">
        <v>2</v>
      </c>
      <c r="F42">
        <v>10</v>
      </c>
      <c r="G42">
        <v>692</v>
      </c>
      <c r="H42">
        <v>25</v>
      </c>
      <c r="I42">
        <v>354495408</v>
      </c>
      <c r="J42">
        <v>10</v>
      </c>
      <c r="K42">
        <v>107</v>
      </c>
      <c r="L42">
        <v>6</v>
      </c>
      <c r="M42">
        <v>3</v>
      </c>
      <c r="N42">
        <v>62</v>
      </c>
      <c r="O42">
        <v>144</v>
      </c>
      <c r="P42" t="s">
        <v>36</v>
      </c>
      <c r="Q42" t="s">
        <v>39</v>
      </c>
      <c r="R42">
        <v>56</v>
      </c>
      <c r="S42">
        <v>84</v>
      </c>
      <c r="T42">
        <v>65</v>
      </c>
      <c r="U42">
        <v>23</v>
      </c>
      <c r="V42">
        <v>0</v>
      </c>
      <c r="W42">
        <v>10</v>
      </c>
      <c r="X42">
        <v>6</v>
      </c>
    </row>
    <row r="43" spans="1:24" x14ac:dyDescent="0.3">
      <c r="A43" t="s">
        <v>109</v>
      </c>
      <c r="B43" t="s">
        <v>110</v>
      </c>
      <c r="C43">
        <v>2</v>
      </c>
      <c r="D43">
        <v>2018</v>
      </c>
      <c r="E43">
        <v>10</v>
      </c>
      <c r="F43">
        <v>9</v>
      </c>
      <c r="G43">
        <v>24094</v>
      </c>
      <c r="H43">
        <v>78</v>
      </c>
      <c r="I43">
        <v>2808096550</v>
      </c>
      <c r="J43">
        <v>372</v>
      </c>
      <c r="K43">
        <v>117</v>
      </c>
      <c r="L43">
        <v>843</v>
      </c>
      <c r="M43">
        <v>4</v>
      </c>
      <c r="N43">
        <v>69</v>
      </c>
      <c r="O43">
        <v>90</v>
      </c>
      <c r="P43" t="s">
        <v>50</v>
      </c>
      <c r="Q43" t="s">
        <v>27</v>
      </c>
      <c r="R43">
        <v>76</v>
      </c>
      <c r="S43">
        <v>91</v>
      </c>
      <c r="T43">
        <v>50</v>
      </c>
      <c r="U43">
        <v>54</v>
      </c>
      <c r="V43">
        <v>0</v>
      </c>
      <c r="W43">
        <v>7</v>
      </c>
      <c r="X43">
        <v>5</v>
      </c>
    </row>
    <row r="44" spans="1:24" x14ac:dyDescent="0.3">
      <c r="A44" t="s">
        <v>111</v>
      </c>
      <c r="B44" t="s">
        <v>112</v>
      </c>
      <c r="C44">
        <v>2</v>
      </c>
      <c r="D44">
        <v>2022</v>
      </c>
      <c r="E44">
        <v>8</v>
      </c>
      <c r="F44">
        <v>26</v>
      </c>
      <c r="G44">
        <v>12482</v>
      </c>
      <c r="H44">
        <v>80</v>
      </c>
      <c r="I44">
        <v>1109433169</v>
      </c>
      <c r="J44">
        <v>291</v>
      </c>
      <c r="K44">
        <v>184</v>
      </c>
      <c r="L44">
        <v>537</v>
      </c>
      <c r="M44">
        <v>45</v>
      </c>
      <c r="N44">
        <v>727</v>
      </c>
      <c r="O44">
        <v>128</v>
      </c>
      <c r="P44" t="s">
        <v>72</v>
      </c>
      <c r="Q44" t="s">
        <v>39</v>
      </c>
      <c r="R44">
        <v>56</v>
      </c>
      <c r="S44">
        <v>38</v>
      </c>
      <c r="T44">
        <v>97</v>
      </c>
      <c r="U44">
        <v>4</v>
      </c>
      <c r="V44">
        <v>0</v>
      </c>
      <c r="W44">
        <v>35</v>
      </c>
      <c r="X44">
        <v>4</v>
      </c>
    </row>
    <row r="45" spans="1:24" x14ac:dyDescent="0.3">
      <c r="A45" t="s">
        <v>113</v>
      </c>
      <c r="B45" t="s">
        <v>114</v>
      </c>
      <c r="C45">
        <v>3</v>
      </c>
      <c r="D45">
        <v>2017</v>
      </c>
      <c r="E45">
        <v>7</v>
      </c>
      <c r="F45">
        <v>21</v>
      </c>
      <c r="G45">
        <v>13387</v>
      </c>
      <c r="H45">
        <v>64</v>
      </c>
      <c r="I45">
        <v>1047101291</v>
      </c>
      <c r="J45">
        <v>77</v>
      </c>
      <c r="K45">
        <v>58</v>
      </c>
      <c r="L45">
        <v>247</v>
      </c>
      <c r="M45">
        <v>1</v>
      </c>
      <c r="N45">
        <v>311</v>
      </c>
      <c r="O45">
        <v>79</v>
      </c>
      <c r="P45" t="s">
        <v>53</v>
      </c>
      <c r="Q45" t="s">
        <v>27</v>
      </c>
      <c r="R45">
        <v>56</v>
      </c>
      <c r="S45">
        <v>58</v>
      </c>
      <c r="T45">
        <v>56</v>
      </c>
      <c r="U45">
        <v>37</v>
      </c>
      <c r="V45">
        <v>0</v>
      </c>
      <c r="W45">
        <v>11</v>
      </c>
      <c r="X45">
        <v>10</v>
      </c>
    </row>
    <row r="46" spans="1:24" x14ac:dyDescent="0.3">
      <c r="A46" t="s">
        <v>127</v>
      </c>
      <c r="B46" t="s">
        <v>115</v>
      </c>
      <c r="C46">
        <v>3</v>
      </c>
      <c r="D46">
        <v>2023</v>
      </c>
      <c r="E46">
        <v>6</v>
      </c>
      <c r="F46">
        <v>23</v>
      </c>
      <c r="G46">
        <v>1117</v>
      </c>
      <c r="H46">
        <v>80</v>
      </c>
      <c r="I46">
        <v>65156199</v>
      </c>
      <c r="J46">
        <v>82</v>
      </c>
      <c r="K46">
        <v>145</v>
      </c>
      <c r="L46">
        <v>65</v>
      </c>
      <c r="M46">
        <v>16</v>
      </c>
      <c r="N46" s="1">
        <v>1133</v>
      </c>
      <c r="O46">
        <v>144</v>
      </c>
      <c r="Q46" t="s">
        <v>27</v>
      </c>
      <c r="R46">
        <v>77</v>
      </c>
      <c r="S46">
        <v>75</v>
      </c>
      <c r="T46">
        <v>58</v>
      </c>
      <c r="U46">
        <v>52</v>
      </c>
      <c r="V46">
        <v>0</v>
      </c>
      <c r="W46">
        <v>23</v>
      </c>
      <c r="X46">
        <v>25</v>
      </c>
    </row>
    <row r="47" spans="1:24" x14ac:dyDescent="0.3">
      <c r="A47" t="s">
        <v>116</v>
      </c>
      <c r="B47" t="s">
        <v>57</v>
      </c>
      <c r="C47">
        <v>1</v>
      </c>
      <c r="D47">
        <v>2020</v>
      </c>
      <c r="E47">
        <v>11</v>
      </c>
      <c r="F47">
        <v>27</v>
      </c>
      <c r="G47">
        <v>3372</v>
      </c>
      <c r="H47">
        <v>19</v>
      </c>
      <c r="I47">
        <v>570515054</v>
      </c>
      <c r="J47">
        <v>65</v>
      </c>
      <c r="K47">
        <v>48</v>
      </c>
      <c r="L47">
        <v>138</v>
      </c>
      <c r="M47">
        <v>1</v>
      </c>
      <c r="N47">
        <v>102</v>
      </c>
      <c r="O47">
        <v>122</v>
      </c>
      <c r="P47" t="s">
        <v>33</v>
      </c>
      <c r="Q47" t="s">
        <v>27</v>
      </c>
      <c r="R47">
        <v>67</v>
      </c>
      <c r="S47">
        <v>49</v>
      </c>
      <c r="T47">
        <v>64</v>
      </c>
      <c r="U47">
        <v>10</v>
      </c>
      <c r="V47">
        <v>0</v>
      </c>
      <c r="W47">
        <v>10</v>
      </c>
      <c r="X47">
        <v>3</v>
      </c>
    </row>
    <row r="48" spans="1:24" x14ac:dyDescent="0.3">
      <c r="A48" t="s">
        <v>117</v>
      </c>
      <c r="B48" t="s">
        <v>118</v>
      </c>
      <c r="C48">
        <v>1</v>
      </c>
      <c r="D48">
        <v>2022</v>
      </c>
      <c r="E48">
        <v>5</v>
      </c>
      <c r="F48">
        <v>13</v>
      </c>
      <c r="G48">
        <v>8431</v>
      </c>
      <c r="H48">
        <v>76</v>
      </c>
      <c r="I48">
        <v>1085685420</v>
      </c>
      <c r="J48">
        <v>241</v>
      </c>
      <c r="K48">
        <v>127</v>
      </c>
      <c r="L48">
        <v>458</v>
      </c>
      <c r="M48">
        <v>37</v>
      </c>
      <c r="N48">
        <v>332</v>
      </c>
      <c r="O48">
        <v>140</v>
      </c>
      <c r="Q48" t="s">
        <v>27</v>
      </c>
      <c r="R48">
        <v>71</v>
      </c>
      <c r="S48">
        <v>82</v>
      </c>
      <c r="T48">
        <v>81</v>
      </c>
      <c r="U48">
        <v>11</v>
      </c>
      <c r="V48">
        <v>0</v>
      </c>
      <c r="W48">
        <v>6</v>
      </c>
      <c r="X48">
        <v>5</v>
      </c>
    </row>
    <row r="49" spans="1:24" x14ac:dyDescent="0.3">
      <c r="A49" t="s">
        <v>119</v>
      </c>
      <c r="B49" t="s">
        <v>120</v>
      </c>
      <c r="C49">
        <v>1</v>
      </c>
      <c r="D49">
        <v>2016</v>
      </c>
      <c r="E49">
        <v>11</v>
      </c>
      <c r="F49">
        <v>24</v>
      </c>
      <c r="G49">
        <v>2483</v>
      </c>
      <c r="H49">
        <v>59</v>
      </c>
      <c r="I49">
        <v>1647990401</v>
      </c>
      <c r="J49">
        <v>68</v>
      </c>
      <c r="K49">
        <v>21</v>
      </c>
      <c r="L49">
        <v>24</v>
      </c>
      <c r="M49">
        <v>0</v>
      </c>
      <c r="N49">
        <v>259</v>
      </c>
      <c r="O49">
        <v>134</v>
      </c>
      <c r="P49" t="s">
        <v>30</v>
      </c>
      <c r="Q49" t="s">
        <v>39</v>
      </c>
      <c r="R49">
        <v>59</v>
      </c>
      <c r="S49">
        <v>51</v>
      </c>
      <c r="T49">
        <v>52</v>
      </c>
      <c r="U49">
        <v>9</v>
      </c>
      <c r="V49">
        <v>0</v>
      </c>
      <c r="W49">
        <v>15</v>
      </c>
      <c r="X49">
        <v>7</v>
      </c>
    </row>
    <row r="50" spans="1:24" x14ac:dyDescent="0.3">
      <c r="A50" t="s">
        <v>121</v>
      </c>
      <c r="B50" t="s">
        <v>122</v>
      </c>
      <c r="C50">
        <v>2</v>
      </c>
      <c r="D50">
        <v>2016</v>
      </c>
      <c r="E50">
        <v>9</v>
      </c>
      <c r="F50">
        <v>21</v>
      </c>
      <c r="G50">
        <v>29536</v>
      </c>
      <c r="H50">
        <v>79</v>
      </c>
      <c r="I50">
        <v>2565529693</v>
      </c>
      <c r="J50">
        <v>281</v>
      </c>
      <c r="K50">
        <v>137</v>
      </c>
      <c r="L50" s="1">
        <v>2445</v>
      </c>
      <c r="M50">
        <v>1</v>
      </c>
      <c r="N50">
        <v>140</v>
      </c>
      <c r="O50">
        <v>186</v>
      </c>
      <c r="P50" t="s">
        <v>72</v>
      </c>
      <c r="Q50" t="s">
        <v>27</v>
      </c>
      <c r="R50">
        <v>68</v>
      </c>
      <c r="S50">
        <v>49</v>
      </c>
      <c r="T50">
        <v>59</v>
      </c>
      <c r="U50">
        <v>16</v>
      </c>
      <c r="V50">
        <v>0</v>
      </c>
      <c r="W50">
        <v>13</v>
      </c>
      <c r="X50">
        <v>28</v>
      </c>
    </row>
    <row r="56" spans="1:24" x14ac:dyDescent="0.3">
      <c r="L56" s="1"/>
    </row>
    <row r="57" spans="1:24" x14ac:dyDescent="0.3">
      <c r="L57" s="1"/>
    </row>
    <row r="67" spans="12:12" x14ac:dyDescent="0.3">
      <c r="L67" s="1"/>
    </row>
    <row r="75" spans="12:12" x14ac:dyDescent="0.3">
      <c r="L75" s="1"/>
    </row>
    <row r="77" spans="12:12" x14ac:dyDescent="0.3">
      <c r="L77" s="1"/>
    </row>
    <row r="82" spans="12:14" x14ac:dyDescent="0.3">
      <c r="L82" s="1"/>
    </row>
    <row r="88" spans="12:14" x14ac:dyDescent="0.3">
      <c r="L88" s="1"/>
    </row>
    <row r="90" spans="12:14" x14ac:dyDescent="0.3">
      <c r="L90" s="1"/>
      <c r="N90" s="1"/>
    </row>
    <row r="91" spans="12:14" x14ac:dyDescent="0.3">
      <c r="N91" s="1"/>
    </row>
    <row r="100" spans="12:12" x14ac:dyDescent="0.3">
      <c r="L100" s="1"/>
    </row>
    <row r="105" spans="12:12" x14ac:dyDescent="0.3">
      <c r="L105" s="1"/>
    </row>
    <row r="108" spans="12:12" x14ac:dyDescent="0.3">
      <c r="L108" s="1"/>
    </row>
    <row r="111" spans="12:12" x14ac:dyDescent="0.3">
      <c r="L111" s="1"/>
    </row>
    <row r="116" spans="12:12" x14ac:dyDescent="0.3">
      <c r="L116" s="1"/>
    </row>
    <row r="128" spans="12:12" x14ac:dyDescent="0.3">
      <c r="L128" s="1"/>
    </row>
    <row r="129" spans="12:12" x14ac:dyDescent="0.3">
      <c r="L129" s="1"/>
    </row>
    <row r="130" spans="12:12" x14ac:dyDescent="0.3">
      <c r="L130" s="1"/>
    </row>
    <row r="140" spans="12:12" x14ac:dyDescent="0.3">
      <c r="L140" s="1"/>
    </row>
    <row r="142" spans="12:12" x14ac:dyDescent="0.3">
      <c r="L142" s="1"/>
    </row>
    <row r="145" spans="12:12" x14ac:dyDescent="0.3">
      <c r="L145" s="1"/>
    </row>
    <row r="149" spans="12:12" x14ac:dyDescent="0.3">
      <c r="L149" s="1"/>
    </row>
    <row r="159" spans="12:12" x14ac:dyDescent="0.3">
      <c r="L159" s="1"/>
    </row>
    <row r="164" spans="12:12" x14ac:dyDescent="0.3">
      <c r="L164" s="1"/>
    </row>
    <row r="170" spans="12:12" x14ac:dyDescent="0.3">
      <c r="L170" s="1"/>
    </row>
    <row r="174" spans="12:12" x14ac:dyDescent="0.3">
      <c r="L174" s="1"/>
    </row>
    <row r="175" spans="12:12" x14ac:dyDescent="0.3">
      <c r="L175" s="1"/>
    </row>
    <row r="178" spans="12:12" x14ac:dyDescent="0.3">
      <c r="L178" s="1"/>
    </row>
    <row r="179" spans="12:12" x14ac:dyDescent="0.3">
      <c r="L179" s="1"/>
    </row>
    <row r="181" spans="12:12" x14ac:dyDescent="0.3">
      <c r="L181" s="1"/>
    </row>
    <row r="184" spans="12:12" x14ac:dyDescent="0.3">
      <c r="L184" s="1"/>
    </row>
    <row r="190" spans="12:12" x14ac:dyDescent="0.3">
      <c r="L190" s="1"/>
    </row>
    <row r="191" spans="12:12" x14ac:dyDescent="0.3">
      <c r="L191" s="1"/>
    </row>
    <row r="201" spans="12:12" x14ac:dyDescent="0.3">
      <c r="L201" s="1"/>
    </row>
    <row r="245" spans="12:12" x14ac:dyDescent="0.3">
      <c r="L245" s="1"/>
    </row>
    <row r="252" spans="12:12" x14ac:dyDescent="0.3">
      <c r="L252" s="1"/>
    </row>
    <row r="298" spans="12:12" x14ac:dyDescent="0.3">
      <c r="L298" s="1"/>
    </row>
    <row r="299" spans="12:12" x14ac:dyDescent="0.3">
      <c r="L299" s="1"/>
    </row>
    <row r="305" spans="1:1" x14ac:dyDescent="0.3">
      <c r="A305" s="2"/>
    </row>
    <row r="326" spans="12:12" x14ac:dyDescent="0.3">
      <c r="L326" s="1"/>
    </row>
    <row r="327" spans="12:12" x14ac:dyDescent="0.3">
      <c r="L327" s="1"/>
    </row>
    <row r="333" spans="12:12" x14ac:dyDescent="0.3">
      <c r="L333" s="1"/>
    </row>
    <row r="360" spans="12:12" x14ac:dyDescent="0.3">
      <c r="L360" s="1"/>
    </row>
    <row r="402" spans="12:12" x14ac:dyDescent="0.3">
      <c r="L402" s="1"/>
    </row>
    <row r="405" spans="12:12" x14ac:dyDescent="0.3">
      <c r="L405" s="1"/>
    </row>
    <row r="409" spans="12:12" x14ac:dyDescent="0.3">
      <c r="L409" s="1"/>
    </row>
    <row r="442" spans="12:12" x14ac:dyDescent="0.3">
      <c r="L442" s="1"/>
    </row>
    <row r="443" spans="12:12" x14ac:dyDescent="0.3">
      <c r="L443" s="1"/>
    </row>
    <row r="444" spans="12:12" x14ac:dyDescent="0.3">
      <c r="L444" s="1"/>
    </row>
    <row r="595" spans="12:12" x14ac:dyDescent="0.3">
      <c r="L595" s="1"/>
    </row>
    <row r="606" spans="12:12" x14ac:dyDescent="0.3">
      <c r="L606" s="1"/>
    </row>
    <row r="617" spans="12:12" x14ac:dyDescent="0.3">
      <c r="L617" s="1"/>
    </row>
    <row r="622" spans="12:12" x14ac:dyDescent="0.3">
      <c r="L622" s="1"/>
    </row>
    <row r="625" spans="12:12" x14ac:dyDescent="0.3">
      <c r="L625" s="1"/>
    </row>
    <row r="626" spans="12:12" x14ac:dyDescent="0.3">
      <c r="L626" s="1"/>
    </row>
    <row r="632" spans="12:12" x14ac:dyDescent="0.3">
      <c r="L632" s="1"/>
    </row>
    <row r="636" spans="12:12" x14ac:dyDescent="0.3">
      <c r="L636" s="1"/>
    </row>
    <row r="642" spans="12:12" x14ac:dyDescent="0.3">
      <c r="L642" s="1"/>
    </row>
    <row r="643" spans="12:12" x14ac:dyDescent="0.3">
      <c r="L643" s="1"/>
    </row>
    <row r="651" spans="12:12" x14ac:dyDescent="0.3">
      <c r="L651" s="1"/>
    </row>
    <row r="655" spans="12:12" x14ac:dyDescent="0.3">
      <c r="L655" s="1"/>
    </row>
    <row r="660" spans="12:12" x14ac:dyDescent="0.3">
      <c r="L660" s="1"/>
    </row>
    <row r="670" spans="12:12" x14ac:dyDescent="0.3">
      <c r="L670" s="1"/>
    </row>
    <row r="671" spans="12:12" x14ac:dyDescent="0.3">
      <c r="L671" s="1"/>
    </row>
    <row r="674" spans="12:12" x14ac:dyDescent="0.3">
      <c r="L674" s="1"/>
    </row>
    <row r="675" spans="12:12" x14ac:dyDescent="0.3">
      <c r="L675" s="1"/>
    </row>
    <row r="687" spans="12:12" x14ac:dyDescent="0.3">
      <c r="L687" s="1"/>
    </row>
    <row r="695" spans="12:12" x14ac:dyDescent="0.3">
      <c r="L695" s="1"/>
    </row>
    <row r="699" spans="12:12" x14ac:dyDescent="0.3">
      <c r="L699" s="1"/>
    </row>
    <row r="719" spans="12:12" x14ac:dyDescent="0.3">
      <c r="L719" s="1"/>
    </row>
    <row r="722" spans="12:12" x14ac:dyDescent="0.3">
      <c r="L722" s="1"/>
    </row>
    <row r="726" spans="12:12" x14ac:dyDescent="0.3">
      <c r="L726" s="1"/>
    </row>
    <row r="727" spans="12:12" x14ac:dyDescent="0.3">
      <c r="L727" s="1"/>
    </row>
    <row r="729" spans="12:12" x14ac:dyDescent="0.3">
      <c r="L729" s="1"/>
    </row>
    <row r="756" spans="12:12" x14ac:dyDescent="0.3">
      <c r="L756" s="1"/>
    </row>
    <row r="759" spans="12:12" x14ac:dyDescent="0.3">
      <c r="L759" s="1"/>
    </row>
    <row r="763" spans="12:12" x14ac:dyDescent="0.3">
      <c r="L763" s="1"/>
    </row>
    <row r="764" spans="12:12" x14ac:dyDescent="0.3">
      <c r="L764" s="1"/>
    </row>
    <row r="873" spans="12:12" x14ac:dyDescent="0.3">
      <c r="L873" s="1"/>
    </row>
    <row r="895" spans="12:12" x14ac:dyDescent="0.3">
      <c r="L895" s="1"/>
    </row>
    <row r="912" spans="12:12" x14ac:dyDescent="0.3">
      <c r="L912"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9D905-BDEA-436F-BD6A-48A629DB7C3B}">
  <dimension ref="L1:L10"/>
  <sheetViews>
    <sheetView zoomScale="90" zoomScaleNormal="90" workbookViewId="0">
      <selection sqref="A1:XFD1"/>
    </sheetView>
  </sheetViews>
  <sheetFormatPr defaultRowHeight="14.4" x14ac:dyDescent="0.3"/>
  <cols>
    <col min="1" max="9" width="8.88671875" style="5"/>
    <col min="10" max="10" width="8.88671875" style="5" customWidth="1"/>
    <col min="11" max="16384" width="8.88671875" style="5"/>
  </cols>
  <sheetData>
    <row r="1" spans="12:12" s="6" customFormat="1" ht="30" customHeight="1" thickBot="1" x14ac:dyDescent="0.35"/>
    <row r="10" spans="12:12" x14ac:dyDescent="0.3">
      <c r="L10" s="5" t="s">
        <v>128</v>
      </c>
    </row>
  </sheetData>
  <mergeCells count="1">
    <mergeCell ref="A1:XFD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KPI</vt:lpstr>
      <vt:lpstr>Spotify Most Streamed Songs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vb033</dc:creator>
  <cp:lastModifiedBy>vb033949@gmail.com</cp:lastModifiedBy>
  <dcterms:created xsi:type="dcterms:W3CDTF">2025-12-27T07:09:02Z</dcterms:created>
  <dcterms:modified xsi:type="dcterms:W3CDTF">2025-12-27T10:14:08Z</dcterms:modified>
</cp:coreProperties>
</file>